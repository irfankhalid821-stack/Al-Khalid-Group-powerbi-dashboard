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Dashboard" sheetId="1" r:id="rId1"/>
    <sheet name="Sales Data" sheetId="2" r:id="rId2"/>
    <sheet name="Monthly Summary" sheetId="3" r:id="rId3"/>
    <sheet name="Category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<sst xmlns="http://schemas.openxmlformats.org/spreadsheetml/2006/main" count="358" uniqueCount="148">
  <si>
    <t>SALES PERFORMANCE DASHBOARD</t>
  </si>
  <si>
    <t>Total Net Sales</t>
  </si>
  <si>
    <t>Total Profit</t>
  </si>
  <si>
    <t>Units Sold</t>
  </si>
  <si>
    <t>Orders</t>
  </si>
  <si>
    <t>Overall Profit Margin</t>
  </si>
  <si>
    <t>Date</t>
  </si>
  <si>
    <t>InvoiceNo</t>
  </si>
  <si>
    <t>ProductID</t>
  </si>
  <si>
    <t>ProductName</t>
  </si>
  <si>
    <t>Category</t>
  </si>
  <si>
    <t>Brand</t>
  </si>
  <si>
    <t>Quantity</t>
  </si>
  <si>
    <t>UnitPrice</t>
  </si>
  <si>
    <t>UnitCost</t>
  </si>
  <si>
    <t>Discount</t>
  </si>
  <si>
    <t>Gross Sales</t>
  </si>
  <si>
    <t>Net Sales</t>
  </si>
  <si>
    <t>Cost</t>
  </si>
  <si>
    <t>Profit</t>
  </si>
  <si>
    <t>Margin %</t>
  </si>
  <si>
    <t>INV001</t>
  </si>
  <si>
    <t>P001</t>
  </si>
  <si>
    <t>iPhone 15</t>
  </si>
  <si>
    <t>Mobile</t>
  </si>
  <si>
    <t>Apple</t>
  </si>
  <si>
    <t>INV002</t>
  </si>
  <si>
    <t>P002</t>
  </si>
  <si>
    <t>Samsung S25</t>
  </si>
  <si>
    <t>Samsung</t>
  </si>
  <si>
    <t>INV003</t>
  </si>
  <si>
    <t>P003</t>
  </si>
  <si>
    <t>LG TV</t>
  </si>
  <si>
    <t>TV</t>
  </si>
  <si>
    <t>LG</t>
  </si>
  <si>
    <t>INV004</t>
  </si>
  <si>
    <t>P004</t>
  </si>
  <si>
    <t>iPhone 15 Pro</t>
  </si>
  <si>
    <t>INV005</t>
  </si>
  <si>
    <t>P005</t>
  </si>
  <si>
    <t>Samsung A55</t>
  </si>
  <si>
    <t>INV006</t>
  </si>
  <si>
    <t>P006</t>
  </si>
  <si>
    <t>Sony Bravia 55</t>
  </si>
  <si>
    <t>Sony</t>
  </si>
  <si>
    <t>INV007</t>
  </si>
  <si>
    <t>P007</t>
  </si>
  <si>
    <t>HP Pavilion Laptop</t>
  </si>
  <si>
    <t>Laptop</t>
  </si>
  <si>
    <t>HP</t>
  </si>
  <si>
    <t>INV008</t>
  </si>
  <si>
    <t>P008</t>
  </si>
  <si>
    <t>Dell Inspiron</t>
  </si>
  <si>
    <t>Dell</t>
  </si>
  <si>
    <t>INV009</t>
  </si>
  <si>
    <t>P009</t>
  </si>
  <si>
    <t>AirPods Pro</t>
  </si>
  <si>
    <t>Accessories</t>
  </si>
  <si>
    <t>INV010</t>
  </si>
  <si>
    <t>P010</t>
  </si>
  <si>
    <t>Galaxy Buds</t>
  </si>
  <si>
    <t>INV011</t>
  </si>
  <si>
    <t>P011</t>
  </si>
  <si>
    <t>TCL 50 TV</t>
  </si>
  <si>
    <t>TCL</t>
  </si>
  <si>
    <t>INV012</t>
  </si>
  <si>
    <t>P012</t>
  </si>
  <si>
    <t>Lenovo ThinkPad</t>
  </si>
  <si>
    <t>Lenovo</t>
  </si>
  <si>
    <t>INV013</t>
  </si>
  <si>
    <t>P013</t>
  </si>
  <si>
    <t>iPhone 14</t>
  </si>
  <si>
    <t>INV014</t>
  </si>
  <si>
    <t>P014</t>
  </si>
  <si>
    <t>Samsung S24</t>
  </si>
  <si>
    <t>INV015</t>
  </si>
  <si>
    <t>P015</t>
  </si>
  <si>
    <t>Sony Headphones</t>
  </si>
  <si>
    <t>INV016</t>
  </si>
  <si>
    <t>P016</t>
  </si>
  <si>
    <t>LG 65 TV</t>
  </si>
  <si>
    <t>INV017</t>
  </si>
  <si>
    <t>P017</t>
  </si>
  <si>
    <t>HP EliteBook</t>
  </si>
  <si>
    <t>INV018</t>
  </si>
  <si>
    <t>P018</t>
  </si>
  <si>
    <t>Samsung Tab S9</t>
  </si>
  <si>
    <t>Tablet</t>
  </si>
  <si>
    <t>INV019</t>
  </si>
  <si>
    <t>P019</t>
  </si>
  <si>
    <t>iPad Air</t>
  </si>
  <si>
    <t>INV020</t>
  </si>
  <si>
    <t>P020</t>
  </si>
  <si>
    <t>Xiaomi Redmi Note</t>
  </si>
  <si>
    <t>Xiaomi</t>
  </si>
  <si>
    <t>INV021</t>
  </si>
  <si>
    <t>P021</t>
  </si>
  <si>
    <t>Xiaomi Smart TV</t>
  </si>
  <si>
    <t>INV022</t>
  </si>
  <si>
    <t>P022</t>
  </si>
  <si>
    <t>Logitech Keyboard</t>
  </si>
  <si>
    <t>Logitech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</si>
  <si>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</si>
  <si>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</si>
  <si>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</si>
  <si>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</si>
  <si>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</si>
  <si>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</si>
  <si>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</si>
  <si>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</si>
  <si>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</si>
  <si>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</si>
  <si>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</si>
  <si>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</si>
  <si>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</si>
  <si>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</si>
  <si>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</si>
  <si>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</si>
  <si>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</si>
  <si>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</si>
  <si>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</si>
  <si>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</si>
  <si>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</si>
  <si>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</si>
  <si>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</si>
  <si>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</si>
  <si>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</si>
  <si>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</si>
  <si>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</si>
  <si>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</si>
  <si>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INV051</t>
  </si>
  <si>
    <t>INV052</t>
  </si>
  <si>
    <t>INV053</t>
  </si>
  <si>
    <t>INV054</t>
  </si>
  <si>
    <t>INV055</t>
  </si>
  <si>
    <t>INV056</t>
  </si>
  <si>
    <t>INV057</t>
  </si>
  <si>
    <t>INV058</t>
  </si>
  <si>
    <t>INV059</t>
  </si>
  <si>
    <t>INV060</t>
  </si>
  <si>
    <t>INV061</t>
  </si>
  <si>
    <t>INV062</t>
  </si>
  <si>
    <t>INV063</t>
  </si>
  <si>
    <t>INV064</t>
  </si>
  <si>
    <t>Month</t>
  </si>
  <si>
    <t>Sep-2026</t>
  </si>
  <si>
    <t>Oct-2026</t>
  </si>
  <si>
    <t>Nov-2026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</si>
</sst>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%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20"/>
      <color rgb="FFFFFFFF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58" fontId="0" fillId="0" borderId="0" xfId="0" applyNumberFormat="1"/>
    <xf numFmtId="4" fontId="0" fillId="0" borderId="0" xfId="0" applyNumberFormat="1"/>
    <xf numFmtId="176" fontId="0" fillId="0" borderId="0" xfId="0" applyNumberForma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  <xf numFmtId="4" fontId="3" fillId="0" borderId="0" xfId="0" applyNumberFormat="1" applyFont="1" applyAlignment="1">
      <alignment horizontal="center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Net Sales &amp; Profit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Summary'!$C$1</c:f>
              <c:strCache>
                <c:ptCount val="1"/>
                <c:pt idx="0">
                  <c:v>Net Sales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'Monthly Summary'!$A$2:$A$4</c:f>
              <c:strCache>
                <c:ptCount val="3"/>
                <c:pt idx="0">
                  <c:v>Sep-2026</c:v>
                </c:pt>
                <c:pt idx="1">
                  <c:v>Oct-2026</c:v>
                </c:pt>
                <c:pt idx="2">
                  <c:v>Nov-2026</c:v>
                </c:pt>
              </c:strCache>
            </c:strRef>
          </c:cat>
          <c:val>
            <c:numRef>
              <c:f>'Monthly Summary'!$C$2:$C$4</c:f>
              <c:numCache>
                <c:formatCode>General</c:formatCode>
                <c:ptCount val="3"/>
                <c:pt idx="0">
                  <c:v>68130</c:v>
                </c:pt>
                <c:pt idx="1">
                  <c:v>72250</c:v>
                </c:pt>
                <c:pt idx="2">
                  <c:v>93470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Summary'!$D$1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'Monthly Summary'!$A$2:$A$4</c:f>
              <c:strCache>
                <c:ptCount val="3"/>
                <c:pt idx="0">
                  <c:v>Sep-2026</c:v>
                </c:pt>
                <c:pt idx="1">
                  <c:v>Oct-2026</c:v>
                </c:pt>
                <c:pt idx="2">
                  <c:v>Nov-2026</c:v>
                </c:pt>
              </c:strCache>
            </c:strRef>
          </c:cat>
          <c:val>
            <c:numRef>
              <c:f>'Monthly Summary'!$D$2:$D$4</c:f>
              <c:numCache>
                <c:formatCode>General</c:formatCode>
                <c:ptCount val="3"/>
                <c:pt idx="0">
                  <c:v>11550</c:v>
                </c:pt>
                <c:pt idx="1">
                  <c:v>11750</c:v>
                </c:pt>
                <c:pt idx="2">
                  <c:v>15720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f947d6-94f3-49b1-9624-e7368e32fd2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Net Sales by Category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Summary'!$C$1</c:f>
              <c:strCache>
                <c:ptCount val="1"/>
                <c:pt idx="0">
                  <c:v>Net Sales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'Category Summary'!$A$2:$A$6</c:f>
              <c:strCache>
                <c:ptCount val="5"/>
                <c:pt idx="0">
                  <c:v>Mobile</c:v>
                </c:pt>
                <c:pt idx="1">
                  <c:v>TV</c:v>
                </c:pt>
                <c:pt idx="2">
                  <c:v>Laptop</c:v>
                </c:pt>
                <c:pt idx="3">
                  <c:v>Accessories</c:v>
                </c:pt>
                <c:pt idx="4">
                  <c:v>Tablet</c:v>
                </c:pt>
              </c:strCache>
            </c:strRef>
          </c:cat>
          <c:val>
            <c:numRef>
              <c:f>'Category Summary'!$C$2:$C$6</c:f>
              <c:numCache>
                <c:formatCode>General</c:formatCode>
                <c:ptCount val="5"/>
                <c:pt idx="0">
                  <c:v>89750</c:v>
                </c:pt>
                <c:pt idx="1">
                  <c:v>48500</c:v>
                </c:pt>
                <c:pt idx="2">
                  <c:v>56650</c:v>
                </c:pt>
                <c:pt idx="3">
                  <c:v>17950</c:v>
                </c:pt>
                <c:pt idx="4">
                  <c:v>21000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956d03-bf7a-4e6e-9f4d-f6f60152409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Sales Mix by Category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'Category Summary'!$C$1</c:f>
              <c:strCache>
                <c:ptCount val="1"/>
                <c:pt idx="0">
                  <c:v>Net Sales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'Category Summary'!$A$2:$A$6</c:f>
              <c:strCache>
                <c:ptCount val="5"/>
                <c:pt idx="0">
                  <c:v>Mobile</c:v>
                </c:pt>
                <c:pt idx="1">
                  <c:v>TV</c:v>
                </c:pt>
                <c:pt idx="2">
                  <c:v>Laptop</c:v>
                </c:pt>
                <c:pt idx="3">
                  <c:v>Accessories</c:v>
                </c:pt>
                <c:pt idx="4">
                  <c:v>Tablet</c:v>
                </c:pt>
              </c:strCache>
            </c:strRef>
          </c:cat>
          <c:val>
            <c:numRef>
              <c:f>'Category Summary'!$C$2:$C$6</c:f>
              <c:numCache>
                <c:formatCode>General</c:formatCode>
                <c:ptCount val="5"/>
                <c:pt idx="0">
                  <c:v>89750</c:v>
                </c:pt>
                <c:pt idx="1">
                  <c:v>48500</c:v>
                </c:pt>
                <c:pt idx="2">
                  <c:v>56650</c:v>
                </c:pt>
                <c:pt idx="3">
                  <c:v>17950</c:v>
                </c:pt>
                <c:pt idx="4">
                  <c:v>21000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279739-d54d-4cf7-b4af-589e8434bc1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8</xdr:row>
      <xdr:rowOff>0</xdr:rowOff>
    </xdr:from>
    <xdr:ext cx="5040000" cy="2765700"/>
    <xdr:graphicFrame>
      <xdr:nvGraphicFramePr>
        <xdr:cNvPr id="2" name="Chart 1"/>
        <xdr:cNvGraphicFramePr/>
      </xdr:nvGraphicFramePr>
      <xdr:xfrm>
        <a:off x="0" y="1546860"/>
        <a:ext cx="503999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8</xdr:row>
      <xdr:rowOff>0</xdr:rowOff>
    </xdr:from>
    <xdr:ext cx="5040000" cy="2765700"/>
    <xdr:graphicFrame>
      <xdr:nvGraphicFramePr>
        <xdr:cNvPr id="3" name="Chart 2"/>
        <xdr:cNvGraphicFramePr/>
      </xdr:nvGraphicFramePr>
      <xdr:xfrm>
        <a:off x="8778240" y="1546860"/>
        <a:ext cx="503999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7620</xdr:colOff>
      <xdr:row>24</xdr:row>
      <xdr:rowOff>0</xdr:rowOff>
    </xdr:from>
    <xdr:ext cx="5264150" cy="4525645"/>
    <xdr:graphicFrame>
      <xdr:nvGraphicFramePr>
        <xdr:cNvPr id="4" name="Chart 3"/>
        <xdr:cNvGraphicFramePr/>
      </xdr:nvGraphicFramePr>
      <xdr:xfrm>
        <a:off x="7620" y="4472940"/>
        <a:ext cx="5264150" cy="4525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SalesTable" displayName="SalesTable" ref="A1:O65">
  <autoFilter xmlns:etc="http://www.wps.cn/officeDocument/2017/etCustomData" ref="A1:O65" etc:filterBottomFollowUsedRange="0"/>
  <tableColumns count="15">
    <tableColumn id="1" name="Date"/>
    <tableColumn id="2" name="InvoiceNo"/>
    <tableColumn id="3" name="ProductID"/>
    <tableColumn id="4" name="ProductName"/>
    <tableColumn id="5" name="Category"/>
    <tableColumn id="6" name="Brand"/>
    <tableColumn id="7" name="Quantity"/>
    <tableColumn id="8" name="UnitPrice"/>
    <tableColumn id="9" name="UnitCost"/>
    <tableColumn id="10" name="Discount"/>
    <tableColumn id="11" name="Gross Sales"/>
    <tableColumn id="12" name="Net Sales"/>
    <tableColumn id="13" name="Cost"/>
    <tableColumn id="14" name="Profit"/>
    <tableColumn id="15" name="Margin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showGridLines="0" tabSelected="1" topLeftCell="A12" workbookViewId="0">
      <selection activeCell="A5" sqref="A5"/>
    </sheetView>
  </sheetViews>
  <sheetFormatPr defaultColWidth="9" defaultRowHeight="14.4" outlineLevelRow="6" outlineLevelCol="7"/>
  <cols>
    <col min="1" max="8" width="16" customWidth="1"/>
    <col min="9" max="16" width="14" customWidth="1"/>
  </cols>
  <sheetData>
    <row r="1" spans="1:7">
      <c r="A1" s="6" t="s">
        <v>0</v>
      </c>
    </row>
    <row r="4" spans="1:7">
      <c r="A4" s="7" t="s">
        <v>1</v>
      </c>
      <c r="C4" s="7" t="s">
        <v>2</v>
      </c>
      <c r="E4" s="7" t="s">
        <v>3</v>
      </c>
      <c r="G4" s="7" t="s">
        <v>4</v>
      </c>
    </row>
    <row r="5" ht="21" spans="1:7">
      <c r="A5" s="8">
        <f>SUM('Sales Data'!L2:L65)</f>
        <v>233850</v>
      </c>
      <c r="C5" s="8">
        <f>SUM('Sales Data'!N2:N65)</f>
        <v>39020</v>
      </c>
      <c r="E5" s="8">
        <f>SUM('Sales Data'!G2:G65)</f>
        <v>120</v>
      </c>
      <c r="G5" s="8">
        <f>COUNTA('Sales Data'!B2:B65)</f>
        <v>64</v>
      </c>
    </row>
    <row r="7" spans="1:7">
      <c r="A7" s="9" t="s">
        <v>5</v>
      </c>
      <c r="B7" s="5">
        <f>C5/A5</f>
        <v>0.166859097712209</v>
      </c>
    </row>
  </sheetData>
  <mergeCells count="1">
    <mergeCell ref="A1:H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2" width="12" customWidth="1"/>
    <col min="3" max="3" width="10" customWidth="1"/>
    <col min="4" max="4" width="23" customWidth="1"/>
    <col min="5" max="5" width="15" customWidth="1"/>
    <col min="6" max="6" width="12" customWidth="1"/>
    <col min="7" max="7" width="10" customWidth="1"/>
    <col min="8" max="10" width="12" customWidth="1"/>
    <col min="11" max="14" width="14" customWidth="1"/>
    <col min="15" max="15" width="11" customWidth="1"/>
  </cols>
  <sheetData>
    <row r="1" spans="1:1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</row>
    <row r="2" spans="1:15">
      <c r="A2" s="3">
        <v>46266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</v>
      </c>
      <c r="H2" s="4">
        <v>2800</v>
      </c>
      <c r="I2" s="4">
        <v>2300</v>
      </c>
      <c r="J2" s="4">
        <v>100</v>
      </c>
      <c r="K2" s="4">
        <f t="shared" ref="K2:K65" si="0">G2*H2</f>
        <v>5600</v>
      </c>
      <c r="L2" s="4">
        <f t="shared" ref="L2:L65" si="1">K2-J2</f>
        <v>5500</v>
      </c>
      <c r="M2" s="4">
        <f t="shared" ref="M2:M65" si="2">G2*I2</f>
        <v>4600</v>
      </c>
      <c r="N2" s="4">
        <f t="shared" ref="N2:N65" si="3">L2-M2</f>
        <v>900</v>
      </c>
      <c r="O2" s="5">
        <f t="shared" ref="O2:O65" si="4">N2/L2</f>
        <v>0.163636363636364</v>
      </c>
    </row>
    <row r="3" spans="1:15">
      <c r="A3" s="3">
        <v>46266</v>
      </c>
      <c r="B3" t="s">
        <v>26</v>
      </c>
      <c r="C3" t="s">
        <v>27</v>
      </c>
      <c r="D3" t="s">
        <v>28</v>
      </c>
      <c r="E3" t="s">
        <v>24</v>
      </c>
      <c r="F3" t="s">
        <v>29</v>
      </c>
      <c r="G3">
        <v>1</v>
      </c>
      <c r="H3" s="4">
        <v>2500</v>
      </c>
      <c r="I3" s="4">
        <v>2000</v>
      </c>
      <c r="J3" s="4">
        <v>0</v>
      </c>
      <c r="K3" s="4">
        <f t="shared" si="0"/>
        <v>2500</v>
      </c>
      <c r="L3" s="4">
        <f t="shared" si="1"/>
        <v>2500</v>
      </c>
      <c r="M3" s="4">
        <f t="shared" si="2"/>
        <v>2000</v>
      </c>
      <c r="N3" s="4">
        <f t="shared" si="3"/>
        <v>500</v>
      </c>
      <c r="O3" s="5">
        <f t="shared" si="4"/>
        <v>0.2</v>
      </c>
    </row>
    <row r="4" spans="1:15">
      <c r="A4" s="3">
        <v>46267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>
        <v>1</v>
      </c>
      <c r="H4" s="4">
        <v>3200</v>
      </c>
      <c r="I4" s="4">
        <v>2600</v>
      </c>
      <c r="J4" s="4">
        <v>200</v>
      </c>
      <c r="K4" s="4">
        <f t="shared" si="0"/>
        <v>3200</v>
      </c>
      <c r="L4" s="4">
        <f t="shared" si="1"/>
        <v>3000</v>
      </c>
      <c r="M4" s="4">
        <f t="shared" si="2"/>
        <v>2600</v>
      </c>
      <c r="N4" s="4">
        <f t="shared" si="3"/>
        <v>400</v>
      </c>
      <c r="O4" s="5">
        <f t="shared" si="4"/>
        <v>0.133333333333333</v>
      </c>
    </row>
    <row r="5" spans="1:15">
      <c r="A5" s="3">
        <v>46268</v>
      </c>
      <c r="B5" t="s">
        <v>35</v>
      </c>
      <c r="C5" t="s">
        <v>36</v>
      </c>
      <c r="D5" t="s">
        <v>37</v>
      </c>
      <c r="E5" t="s">
        <v>24</v>
      </c>
      <c r="F5" t="s">
        <v>25</v>
      </c>
      <c r="G5">
        <v>1</v>
      </c>
      <c r="H5" s="4">
        <v>3600</v>
      </c>
      <c r="I5" s="4">
        <v>3000</v>
      </c>
      <c r="J5" s="4">
        <v>150</v>
      </c>
      <c r="K5" s="4">
        <f t="shared" si="0"/>
        <v>3600</v>
      </c>
      <c r="L5" s="4">
        <f t="shared" si="1"/>
        <v>3450</v>
      </c>
      <c r="M5" s="4">
        <f t="shared" si="2"/>
        <v>3000</v>
      </c>
      <c r="N5" s="4">
        <f t="shared" si="3"/>
        <v>450</v>
      </c>
      <c r="O5" s="5">
        <f t="shared" si="4"/>
        <v>0.130434782608696</v>
      </c>
    </row>
    <row r="6" spans="1:15">
      <c r="A6" s="3">
        <v>46268</v>
      </c>
      <c r="B6" t="s">
        <v>38</v>
      </c>
      <c r="C6" t="s">
        <v>39</v>
      </c>
      <c r="D6" t="s">
        <v>40</v>
      </c>
      <c r="E6" t="s">
        <v>24</v>
      </c>
      <c r="F6" t="s">
        <v>29</v>
      </c>
      <c r="G6">
        <v>3</v>
      </c>
      <c r="H6" s="4">
        <v>1400</v>
      </c>
      <c r="I6" s="4">
        <v>1100</v>
      </c>
      <c r="J6" s="4">
        <v>100</v>
      </c>
      <c r="K6" s="4">
        <f t="shared" si="0"/>
        <v>4200</v>
      </c>
      <c r="L6" s="4">
        <f t="shared" si="1"/>
        <v>4100</v>
      </c>
      <c r="M6" s="4">
        <f t="shared" si="2"/>
        <v>3300</v>
      </c>
      <c r="N6" s="4">
        <f t="shared" si="3"/>
        <v>800</v>
      </c>
      <c r="O6" s="5">
        <f t="shared" si="4"/>
        <v>0.195121951219512</v>
      </c>
    </row>
    <row r="7" spans="1:15">
      <c r="A7" s="3">
        <v>46269</v>
      </c>
      <c r="B7" t="s">
        <v>41</v>
      </c>
      <c r="C7" t="s">
        <v>42</v>
      </c>
      <c r="D7" t="s">
        <v>43</v>
      </c>
      <c r="E7" t="s">
        <v>33</v>
      </c>
      <c r="F7" t="s">
        <v>44</v>
      </c>
      <c r="G7">
        <v>1</v>
      </c>
      <c r="H7" s="4">
        <v>3500</v>
      </c>
      <c r="I7" s="4">
        <v>2850</v>
      </c>
      <c r="J7" s="4">
        <v>200</v>
      </c>
      <c r="K7" s="4">
        <f t="shared" si="0"/>
        <v>3500</v>
      </c>
      <c r="L7" s="4">
        <f t="shared" si="1"/>
        <v>3300</v>
      </c>
      <c r="M7" s="4">
        <f t="shared" si="2"/>
        <v>2850</v>
      </c>
      <c r="N7" s="4">
        <f t="shared" si="3"/>
        <v>450</v>
      </c>
      <c r="O7" s="5">
        <f t="shared" si="4"/>
        <v>0.136363636363636</v>
      </c>
    </row>
    <row r="8" spans="1:15">
      <c r="A8" s="3">
        <v>46270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>
        <v>1</v>
      </c>
      <c r="H8" s="4">
        <v>3200</v>
      </c>
      <c r="I8" s="4">
        <v>2600</v>
      </c>
      <c r="J8" s="4">
        <v>150</v>
      </c>
      <c r="K8" s="4">
        <f t="shared" si="0"/>
        <v>3200</v>
      </c>
      <c r="L8" s="4">
        <f t="shared" si="1"/>
        <v>3050</v>
      </c>
      <c r="M8" s="4">
        <f t="shared" si="2"/>
        <v>2600</v>
      </c>
      <c r="N8" s="4">
        <f t="shared" si="3"/>
        <v>450</v>
      </c>
      <c r="O8" s="5">
        <f t="shared" si="4"/>
        <v>0.147540983606557</v>
      </c>
    </row>
    <row r="9" spans="1:15">
      <c r="A9" s="3">
        <v>46271</v>
      </c>
      <c r="B9" t="s">
        <v>50</v>
      </c>
      <c r="C9" t="s">
        <v>51</v>
      </c>
      <c r="D9" t="s">
        <v>52</v>
      </c>
      <c r="E9" t="s">
        <v>48</v>
      </c>
      <c r="F9" t="s">
        <v>53</v>
      </c>
      <c r="G9">
        <v>2</v>
      </c>
      <c r="H9" s="4">
        <v>2900</v>
      </c>
      <c r="I9" s="4">
        <v>2350</v>
      </c>
      <c r="J9" s="4">
        <v>200</v>
      </c>
      <c r="K9" s="4">
        <f t="shared" si="0"/>
        <v>5800</v>
      </c>
      <c r="L9" s="4">
        <f t="shared" si="1"/>
        <v>5600</v>
      </c>
      <c r="M9" s="4">
        <f t="shared" si="2"/>
        <v>4700</v>
      </c>
      <c r="N9" s="4">
        <f t="shared" si="3"/>
        <v>900</v>
      </c>
      <c r="O9" s="5">
        <f t="shared" si="4"/>
        <v>0.160714285714286</v>
      </c>
    </row>
    <row r="10" spans="1:15">
      <c r="A10" s="3">
        <v>46272</v>
      </c>
      <c r="B10" t="s">
        <v>54</v>
      </c>
      <c r="C10" t="s">
        <v>55</v>
      </c>
      <c r="D10" t="s">
        <v>56</v>
      </c>
      <c r="E10" t="s">
        <v>57</v>
      </c>
      <c r="F10" t="s">
        <v>25</v>
      </c>
      <c r="G10">
        <v>2</v>
      </c>
      <c r="H10" s="4">
        <v>850</v>
      </c>
      <c r="I10" s="4">
        <v>650</v>
      </c>
      <c r="J10" s="4">
        <v>50</v>
      </c>
      <c r="K10" s="4">
        <f t="shared" si="0"/>
        <v>1700</v>
      </c>
      <c r="L10" s="4">
        <f t="shared" si="1"/>
        <v>1650</v>
      </c>
      <c r="M10" s="4">
        <f t="shared" si="2"/>
        <v>1300</v>
      </c>
      <c r="N10" s="4">
        <f t="shared" si="3"/>
        <v>350</v>
      </c>
      <c r="O10" s="5">
        <f t="shared" si="4"/>
        <v>0.212121212121212</v>
      </c>
    </row>
    <row r="11" spans="1:15">
      <c r="A11" s="3">
        <v>46273</v>
      </c>
      <c r="B11" t="s">
        <v>58</v>
      </c>
      <c r="C11" t="s">
        <v>59</v>
      </c>
      <c r="D11" t="s">
        <v>60</v>
      </c>
      <c r="E11" t="s">
        <v>57</v>
      </c>
      <c r="F11" t="s">
        <v>29</v>
      </c>
      <c r="G11">
        <v>3</v>
      </c>
      <c r="H11" s="4">
        <v>550</v>
      </c>
      <c r="I11" s="4">
        <v>400</v>
      </c>
      <c r="J11" s="4">
        <v>0</v>
      </c>
      <c r="K11" s="4">
        <f t="shared" si="0"/>
        <v>1650</v>
      </c>
      <c r="L11" s="4">
        <f t="shared" si="1"/>
        <v>1650</v>
      </c>
      <c r="M11" s="4">
        <f t="shared" si="2"/>
        <v>1200</v>
      </c>
      <c r="N11" s="4">
        <f t="shared" si="3"/>
        <v>450</v>
      </c>
      <c r="O11" s="5">
        <f t="shared" si="4"/>
        <v>0.272727272727273</v>
      </c>
    </row>
    <row r="12" spans="1:15">
      <c r="A12" s="3">
        <v>46274</v>
      </c>
      <c r="B12" t="s">
        <v>61</v>
      </c>
      <c r="C12" t="s">
        <v>62</v>
      </c>
      <c r="D12" t="s">
        <v>63</v>
      </c>
      <c r="E12" t="s">
        <v>33</v>
      </c>
      <c r="F12" t="s">
        <v>64</v>
      </c>
      <c r="G12">
        <v>1</v>
      </c>
      <c r="H12" s="4">
        <v>2200</v>
      </c>
      <c r="I12" s="4">
        <v>1800</v>
      </c>
      <c r="J12" s="4">
        <v>100</v>
      </c>
      <c r="K12" s="4">
        <f t="shared" si="0"/>
        <v>2200</v>
      </c>
      <c r="L12" s="4">
        <f t="shared" si="1"/>
        <v>2100</v>
      </c>
      <c r="M12" s="4">
        <f t="shared" si="2"/>
        <v>1800</v>
      </c>
      <c r="N12" s="4">
        <f t="shared" si="3"/>
        <v>300</v>
      </c>
      <c r="O12" s="5">
        <f t="shared" si="4"/>
        <v>0.142857142857143</v>
      </c>
    </row>
    <row r="13" spans="1:15">
      <c r="A13" s="3">
        <v>46275</v>
      </c>
      <c r="B13" t="s">
        <v>65</v>
      </c>
      <c r="C13" t="s">
        <v>66</v>
      </c>
      <c r="D13" t="s">
        <v>67</v>
      </c>
      <c r="E13" t="s">
        <v>48</v>
      </c>
      <c r="F13" t="s">
        <v>68</v>
      </c>
      <c r="G13">
        <v>1</v>
      </c>
      <c r="H13" s="4">
        <v>4100</v>
      </c>
      <c r="I13" s="4">
        <v>3400</v>
      </c>
      <c r="J13" s="4">
        <v>200</v>
      </c>
      <c r="K13" s="4">
        <f t="shared" si="0"/>
        <v>4100</v>
      </c>
      <c r="L13" s="4">
        <f t="shared" si="1"/>
        <v>3900</v>
      </c>
      <c r="M13" s="4">
        <f t="shared" si="2"/>
        <v>3400</v>
      </c>
      <c r="N13" s="4">
        <f t="shared" si="3"/>
        <v>500</v>
      </c>
      <c r="O13" s="5">
        <f t="shared" si="4"/>
        <v>0.128205128205128</v>
      </c>
    </row>
    <row r="14" spans="1:15">
      <c r="A14" s="3">
        <v>46276</v>
      </c>
      <c r="B14" t="s">
        <v>69</v>
      </c>
      <c r="C14" t="s">
        <v>70</v>
      </c>
      <c r="D14" t="s">
        <v>71</v>
      </c>
      <c r="E14" t="s">
        <v>24</v>
      </c>
      <c r="F14" t="s">
        <v>25</v>
      </c>
      <c r="G14">
        <v>2</v>
      </c>
      <c r="H14" s="4">
        <v>2300</v>
      </c>
      <c r="I14" s="4">
        <v>1900</v>
      </c>
      <c r="J14" s="4">
        <v>100</v>
      </c>
      <c r="K14" s="4">
        <f t="shared" si="0"/>
        <v>4600</v>
      </c>
      <c r="L14" s="4">
        <f t="shared" si="1"/>
        <v>4500</v>
      </c>
      <c r="M14" s="4">
        <f t="shared" si="2"/>
        <v>3800</v>
      </c>
      <c r="N14" s="4">
        <f t="shared" si="3"/>
        <v>700</v>
      </c>
      <c r="O14" s="5">
        <f t="shared" si="4"/>
        <v>0.155555555555556</v>
      </c>
    </row>
    <row r="15" spans="1:15">
      <c r="A15" s="3">
        <v>46277</v>
      </c>
      <c r="B15" t="s">
        <v>72</v>
      </c>
      <c r="C15" t="s">
        <v>73</v>
      </c>
      <c r="D15" t="s">
        <v>74</v>
      </c>
      <c r="E15" t="s">
        <v>24</v>
      </c>
      <c r="F15" t="s">
        <v>29</v>
      </c>
      <c r="G15">
        <v>1</v>
      </c>
      <c r="H15" s="4">
        <v>2200</v>
      </c>
      <c r="I15" s="4">
        <v>1750</v>
      </c>
      <c r="J15" s="4">
        <v>0</v>
      </c>
      <c r="K15" s="4">
        <f t="shared" si="0"/>
        <v>2200</v>
      </c>
      <c r="L15" s="4">
        <f t="shared" si="1"/>
        <v>2200</v>
      </c>
      <c r="M15" s="4">
        <f t="shared" si="2"/>
        <v>1750</v>
      </c>
      <c r="N15" s="4">
        <f t="shared" si="3"/>
        <v>450</v>
      </c>
      <c r="O15" s="5">
        <f t="shared" si="4"/>
        <v>0.204545454545455</v>
      </c>
    </row>
    <row r="16" spans="1:15">
      <c r="A16" s="3">
        <v>46278</v>
      </c>
      <c r="B16" t="s">
        <v>75</v>
      </c>
      <c r="C16" t="s">
        <v>76</v>
      </c>
      <c r="D16" t="s">
        <v>77</v>
      </c>
      <c r="E16" t="s">
        <v>57</v>
      </c>
      <c r="F16" t="s">
        <v>44</v>
      </c>
      <c r="G16">
        <v>2</v>
      </c>
      <c r="H16" s="4">
        <v>700</v>
      </c>
      <c r="I16" s="4">
        <v>500</v>
      </c>
      <c r="J16" s="4">
        <v>50</v>
      </c>
      <c r="K16" s="4">
        <f t="shared" si="0"/>
        <v>1400</v>
      </c>
      <c r="L16" s="4">
        <f t="shared" si="1"/>
        <v>1350</v>
      </c>
      <c r="M16" s="4">
        <f t="shared" si="2"/>
        <v>1000</v>
      </c>
      <c r="N16" s="4">
        <f t="shared" si="3"/>
        <v>350</v>
      </c>
      <c r="O16" s="5">
        <f t="shared" si="4"/>
        <v>0.259259259259259</v>
      </c>
    </row>
    <row r="17" spans="1:15">
      <c r="A17" s="3">
        <v>46280</v>
      </c>
      <c r="B17" t="s">
        <v>78</v>
      </c>
      <c r="C17" t="s">
        <v>79</v>
      </c>
      <c r="D17" t="s">
        <v>80</v>
      </c>
      <c r="E17" t="s">
        <v>33</v>
      </c>
      <c r="F17" t="s">
        <v>34</v>
      </c>
      <c r="G17">
        <v>1</v>
      </c>
      <c r="H17" s="4">
        <v>4500</v>
      </c>
      <c r="I17" s="4">
        <v>3700</v>
      </c>
      <c r="J17" s="4">
        <v>300</v>
      </c>
      <c r="K17" s="4">
        <f t="shared" si="0"/>
        <v>4500</v>
      </c>
      <c r="L17" s="4">
        <f t="shared" si="1"/>
        <v>4200</v>
      </c>
      <c r="M17" s="4">
        <f t="shared" si="2"/>
        <v>3700</v>
      </c>
      <c r="N17" s="4">
        <f t="shared" si="3"/>
        <v>500</v>
      </c>
      <c r="O17" s="5">
        <f t="shared" si="4"/>
        <v>0.119047619047619</v>
      </c>
    </row>
    <row r="18" spans="1:15">
      <c r="A18" s="3">
        <v>46282</v>
      </c>
      <c r="B18" t="s">
        <v>81</v>
      </c>
      <c r="C18" t="s">
        <v>82</v>
      </c>
      <c r="D18" t="s">
        <v>83</v>
      </c>
      <c r="E18" t="s">
        <v>48</v>
      </c>
      <c r="F18" t="s">
        <v>49</v>
      </c>
      <c r="G18">
        <v>1</v>
      </c>
      <c r="H18" s="4">
        <v>3900</v>
      </c>
      <c r="I18" s="4">
        <v>3200</v>
      </c>
      <c r="J18" s="4">
        <v>200</v>
      </c>
      <c r="K18" s="4">
        <f t="shared" si="0"/>
        <v>3900</v>
      </c>
      <c r="L18" s="4">
        <f t="shared" si="1"/>
        <v>3700</v>
      </c>
      <c r="M18" s="4">
        <f t="shared" si="2"/>
        <v>3200</v>
      </c>
      <c r="N18" s="4">
        <f t="shared" si="3"/>
        <v>500</v>
      </c>
      <c r="O18" s="5">
        <f t="shared" si="4"/>
        <v>0.135135135135135</v>
      </c>
    </row>
    <row r="19" spans="1:15">
      <c r="A19" s="3">
        <v>46284</v>
      </c>
      <c r="B19" t="s">
        <v>84</v>
      </c>
      <c r="C19" t="s">
        <v>85</v>
      </c>
      <c r="D19" t="s">
        <v>86</v>
      </c>
      <c r="E19" t="s">
        <v>87</v>
      </c>
      <c r="F19" t="s">
        <v>29</v>
      </c>
      <c r="G19">
        <v>2</v>
      </c>
      <c r="H19" s="4">
        <v>2100</v>
      </c>
      <c r="I19" s="4">
        <v>1650</v>
      </c>
      <c r="J19" s="4">
        <v>100</v>
      </c>
      <c r="K19" s="4">
        <f t="shared" si="0"/>
        <v>4200</v>
      </c>
      <c r="L19" s="4">
        <f t="shared" si="1"/>
        <v>4100</v>
      </c>
      <c r="M19" s="4">
        <f t="shared" si="2"/>
        <v>3300</v>
      </c>
      <c r="N19" s="4">
        <f t="shared" si="3"/>
        <v>800</v>
      </c>
      <c r="O19" s="5">
        <f t="shared" si="4"/>
        <v>0.195121951219512</v>
      </c>
    </row>
    <row r="20" spans="1:15">
      <c r="A20" s="3">
        <v>46286</v>
      </c>
      <c r="B20" t="s">
        <v>88</v>
      </c>
      <c r="C20" t="s">
        <v>89</v>
      </c>
      <c r="D20" t="s">
        <v>90</v>
      </c>
      <c r="E20" t="s">
        <v>87</v>
      </c>
      <c r="F20" t="s">
        <v>25</v>
      </c>
      <c r="G20">
        <v>1</v>
      </c>
      <c r="H20" s="4">
        <v>2800</v>
      </c>
      <c r="I20" s="4">
        <v>2250</v>
      </c>
      <c r="J20" s="4">
        <v>100</v>
      </c>
      <c r="K20" s="4">
        <f t="shared" si="0"/>
        <v>2800</v>
      </c>
      <c r="L20" s="4">
        <f t="shared" si="1"/>
        <v>2700</v>
      </c>
      <c r="M20" s="4">
        <f t="shared" si="2"/>
        <v>2250</v>
      </c>
      <c r="N20" s="4">
        <f t="shared" si="3"/>
        <v>450</v>
      </c>
      <c r="O20" s="5">
        <f t="shared" si="4"/>
        <v>0.166666666666667</v>
      </c>
    </row>
    <row r="21" spans="1:15">
      <c r="A21" s="3">
        <v>46289</v>
      </c>
      <c r="B21" t="s">
        <v>91</v>
      </c>
      <c r="C21" t="s">
        <v>92</v>
      </c>
      <c r="D21" t="s">
        <v>93</v>
      </c>
      <c r="E21" t="s">
        <v>24</v>
      </c>
      <c r="F21" t="s">
        <v>94</v>
      </c>
      <c r="G21">
        <v>3</v>
      </c>
      <c r="H21" s="4">
        <v>950</v>
      </c>
      <c r="I21" s="4">
        <v>700</v>
      </c>
      <c r="J21" s="4">
        <v>50</v>
      </c>
      <c r="K21" s="4">
        <f t="shared" si="0"/>
        <v>2850</v>
      </c>
      <c r="L21" s="4">
        <f t="shared" si="1"/>
        <v>2800</v>
      </c>
      <c r="M21" s="4">
        <f t="shared" si="2"/>
        <v>2100</v>
      </c>
      <c r="N21" s="4">
        <f t="shared" si="3"/>
        <v>700</v>
      </c>
      <c r="O21" s="5">
        <f t="shared" si="4"/>
        <v>0.25</v>
      </c>
    </row>
    <row r="22" spans="1:15">
      <c r="A22" s="3">
        <v>46292</v>
      </c>
      <c r="B22" t="s">
        <v>95</v>
      </c>
      <c r="C22" t="s">
        <v>96</v>
      </c>
      <c r="D22" t="s">
        <v>97</v>
      </c>
      <c r="E22" t="s">
        <v>33</v>
      </c>
      <c r="F22" t="s">
        <v>94</v>
      </c>
      <c r="G22">
        <v>1</v>
      </c>
      <c r="H22" s="4">
        <v>1800</v>
      </c>
      <c r="I22" s="4">
        <v>1450</v>
      </c>
      <c r="J22" s="4">
        <v>0</v>
      </c>
      <c r="K22" s="4">
        <f t="shared" si="0"/>
        <v>1800</v>
      </c>
      <c r="L22" s="4">
        <f t="shared" si="1"/>
        <v>1800</v>
      </c>
      <c r="M22" s="4">
        <f t="shared" si="2"/>
        <v>1450</v>
      </c>
      <c r="N22" s="4">
        <f t="shared" si="3"/>
        <v>350</v>
      </c>
      <c r="O22" s="5">
        <f t="shared" si="4"/>
        <v>0.194444444444444</v>
      </c>
    </row>
    <row r="23" spans="1:15">
      <c r="A23" s="3">
        <v>46295</v>
      </c>
      <c r="B23" t="s">
        <v>98</v>
      </c>
      <c r="C23" t="s">
        <v>99</v>
      </c>
      <c r="D23" t="s">
        <v>100</v>
      </c>
      <c r="E23" t="s">
        <v>57</v>
      </c>
      <c r="F23" t="s">
        <v>101</v>
      </c>
      <c r="G23">
        <v>4</v>
      </c>
      <c r="H23" s="4">
        <v>250</v>
      </c>
      <c r="I23" s="4">
        <v>170</v>
      </c>
      <c r="J23" s="4">
        <v>20</v>
      </c>
      <c r="K23" s="4">
        <f t="shared" si="0"/>
        <v>1000</v>
      </c>
      <c r="L23" s="4">
        <f t="shared" si="1"/>
        <v>980</v>
      </c>
      <c r="M23" s="4">
        <f t="shared" si="2"/>
        <v>680</v>
      </c>
      <c r="N23" s="4">
        <f t="shared" si="3"/>
        <v>300</v>
      </c>
      <c r="O23" s="5">
        <f t="shared" si="4"/>
        <v>0.306122448979592</v>
      </c>
    </row>
    <row r="24" spans="1:15">
      <c r="A24" s="3">
        <v>46296</v>
      </c>
      <c r="B24" t="s">
        <v>102</v>
      </c>
      <c r="C24" t="s">
        <v>22</v>
      </c>
      <c r="D24" t="s">
        <v>23</v>
      </c>
      <c r="E24" t="s">
        <v>24</v>
      </c>
      <c r="F24" t="s">
        <v>25</v>
      </c>
      <c r="G24">
        <v>1</v>
      </c>
      <c r="H24" s="4">
        <v>2800</v>
      </c>
      <c r="I24" s="4">
        <v>2300</v>
      </c>
      <c r="J24" s="4">
        <v>100</v>
      </c>
      <c r="K24" s="4">
        <f t="shared" si="0"/>
        <v>2800</v>
      </c>
      <c r="L24" s="4">
        <f t="shared" si="1"/>
        <v>2700</v>
      </c>
      <c r="M24" s="4">
        <f t="shared" si="2"/>
        <v>2300</v>
      </c>
      <c r="N24" s="4">
        <f t="shared" si="3"/>
        <v>400</v>
      </c>
      <c r="O24" s="5">
        <f t="shared" si="4"/>
        <v>0.148148148148148</v>
      </c>
    </row>
    <row r="25" spans="1:15">
      <c r="A25" s="3">
        <v>46297</v>
      </c>
      <c r="B25" t="s">
        <v>103</v>
      </c>
      <c r="C25" t="s">
        <v>27</v>
      </c>
      <c r="D25" t="s">
        <v>28</v>
      </c>
      <c r="E25" t="s">
        <v>24</v>
      </c>
      <c r="F25" t="s">
        <v>29</v>
      </c>
      <c r="G25">
        <v>2</v>
      </c>
      <c r="H25" s="4">
        <v>2500</v>
      </c>
      <c r="I25" s="4">
        <v>2000</v>
      </c>
      <c r="J25" s="4">
        <v>150</v>
      </c>
      <c r="K25" s="4">
        <f t="shared" si="0"/>
        <v>5000</v>
      </c>
      <c r="L25" s="4">
        <f t="shared" si="1"/>
        <v>4850</v>
      </c>
      <c r="M25" s="4">
        <f t="shared" si="2"/>
        <v>4000</v>
      </c>
      <c r="N25" s="4">
        <f t="shared" si="3"/>
        <v>850</v>
      </c>
      <c r="O25" s="5">
        <f t="shared" si="4"/>
        <v>0.175257731958763</v>
      </c>
    </row>
    <row r="26" spans="1:15">
      <c r="A26" s="3">
        <v>46298</v>
      </c>
      <c r="B26" t="s">
        <v>104</v>
      </c>
      <c r="C26" t="s">
        <v>31</v>
      </c>
      <c r="D26" t="s">
        <v>32</v>
      </c>
      <c r="E26" t="s">
        <v>33</v>
      </c>
      <c r="F26" t="s">
        <v>34</v>
      </c>
      <c r="G26">
        <v>2</v>
      </c>
      <c r="H26" s="4">
        <v>3200</v>
      </c>
      <c r="I26" s="4">
        <v>2600</v>
      </c>
      <c r="J26" s="4">
        <v>250</v>
      </c>
      <c r="K26" s="4">
        <f t="shared" si="0"/>
        <v>6400</v>
      </c>
      <c r="L26" s="4">
        <f t="shared" si="1"/>
        <v>6150</v>
      </c>
      <c r="M26" s="4">
        <f t="shared" si="2"/>
        <v>5200</v>
      </c>
      <c r="N26" s="4">
        <f t="shared" si="3"/>
        <v>950</v>
      </c>
      <c r="O26" s="5">
        <f t="shared" si="4"/>
        <v>0.154471544715447</v>
      </c>
    </row>
    <row r="27" spans="1:15">
      <c r="A27" s="3">
        <v>46299</v>
      </c>
      <c r="B27" t="s">
        <v>105</v>
      </c>
      <c r="C27" t="s">
        <v>36</v>
      </c>
      <c r="D27" t="s">
        <v>37</v>
      </c>
      <c r="E27" t="s">
        <v>24</v>
      </c>
      <c r="F27" t="s">
        <v>25</v>
      </c>
      <c r="G27">
        <v>1</v>
      </c>
      <c r="H27" s="4">
        <v>3600</v>
      </c>
      <c r="I27" s="4">
        <v>3000</v>
      </c>
      <c r="J27" s="4">
        <v>0</v>
      </c>
      <c r="K27" s="4">
        <f t="shared" si="0"/>
        <v>3600</v>
      </c>
      <c r="L27" s="4">
        <f t="shared" si="1"/>
        <v>3600</v>
      </c>
      <c r="M27" s="4">
        <f t="shared" si="2"/>
        <v>3000</v>
      </c>
      <c r="N27" s="4">
        <f t="shared" si="3"/>
        <v>600</v>
      </c>
      <c r="O27" s="5">
        <f t="shared" si="4"/>
        <v>0.166666666666667</v>
      </c>
    </row>
    <row r="28" spans="1:15">
      <c r="A28" s="3">
        <v>46300</v>
      </c>
      <c r="B28" t="s">
        <v>106</v>
      </c>
      <c r="C28" t="s">
        <v>39</v>
      </c>
      <c r="D28" t="s">
        <v>40</v>
      </c>
      <c r="E28" t="s">
        <v>24</v>
      </c>
      <c r="F28" t="s">
        <v>29</v>
      </c>
      <c r="G28">
        <v>2</v>
      </c>
      <c r="H28" s="4">
        <v>1400</v>
      </c>
      <c r="I28" s="4">
        <v>1100</v>
      </c>
      <c r="J28" s="4">
        <v>100</v>
      </c>
      <c r="K28" s="4">
        <f t="shared" si="0"/>
        <v>2800</v>
      </c>
      <c r="L28" s="4">
        <f t="shared" si="1"/>
        <v>2700</v>
      </c>
      <c r="M28" s="4">
        <f t="shared" si="2"/>
        <v>2200</v>
      </c>
      <c r="N28" s="4">
        <f t="shared" si="3"/>
        <v>500</v>
      </c>
      <c r="O28" s="5">
        <f t="shared" si="4"/>
        <v>0.185185185185185</v>
      </c>
    </row>
    <row r="29" spans="1:15">
      <c r="A29" s="3">
        <v>46301</v>
      </c>
      <c r="B29" t="s">
        <v>107</v>
      </c>
      <c r="C29" t="s">
        <v>42</v>
      </c>
      <c r="D29" t="s">
        <v>43</v>
      </c>
      <c r="E29" t="s">
        <v>33</v>
      </c>
      <c r="F29" t="s">
        <v>44</v>
      </c>
      <c r="G29">
        <v>1</v>
      </c>
      <c r="H29" s="4">
        <v>3500</v>
      </c>
      <c r="I29" s="4">
        <v>2850</v>
      </c>
      <c r="J29" s="4">
        <v>150</v>
      </c>
      <c r="K29" s="4">
        <f t="shared" si="0"/>
        <v>3500</v>
      </c>
      <c r="L29" s="4">
        <f t="shared" si="1"/>
        <v>3350</v>
      </c>
      <c r="M29" s="4">
        <f t="shared" si="2"/>
        <v>2850</v>
      </c>
      <c r="N29" s="4">
        <f t="shared" si="3"/>
        <v>500</v>
      </c>
      <c r="O29" s="5">
        <f t="shared" si="4"/>
        <v>0.149253731343284</v>
      </c>
    </row>
    <row r="30" spans="1:15">
      <c r="A30" s="3">
        <v>46302</v>
      </c>
      <c r="B30" t="s">
        <v>108</v>
      </c>
      <c r="C30" t="s">
        <v>46</v>
      </c>
      <c r="D30" t="s">
        <v>47</v>
      </c>
      <c r="E30" t="s">
        <v>48</v>
      </c>
      <c r="F30" t="s">
        <v>49</v>
      </c>
      <c r="G30">
        <v>2</v>
      </c>
      <c r="H30" s="4">
        <v>3200</v>
      </c>
      <c r="I30" s="4">
        <v>2600</v>
      </c>
      <c r="J30" s="4">
        <v>200</v>
      </c>
      <c r="K30" s="4">
        <f t="shared" si="0"/>
        <v>6400</v>
      </c>
      <c r="L30" s="4">
        <f t="shared" si="1"/>
        <v>6200</v>
      </c>
      <c r="M30" s="4">
        <f t="shared" si="2"/>
        <v>5200</v>
      </c>
      <c r="N30" s="4">
        <f t="shared" si="3"/>
        <v>1000</v>
      </c>
      <c r="O30" s="5">
        <f t="shared" si="4"/>
        <v>0.161290322580645</v>
      </c>
    </row>
    <row r="31" spans="1:15">
      <c r="A31" s="3">
        <v>46304</v>
      </c>
      <c r="B31" t="s">
        <v>109</v>
      </c>
      <c r="C31" t="s">
        <v>51</v>
      </c>
      <c r="D31" t="s">
        <v>52</v>
      </c>
      <c r="E31" t="s">
        <v>48</v>
      </c>
      <c r="F31" t="s">
        <v>53</v>
      </c>
      <c r="G31">
        <v>1</v>
      </c>
      <c r="H31" s="4">
        <v>2900</v>
      </c>
      <c r="I31" s="4">
        <v>2350</v>
      </c>
      <c r="J31" s="4">
        <v>100</v>
      </c>
      <c r="K31" s="4">
        <f t="shared" si="0"/>
        <v>2900</v>
      </c>
      <c r="L31" s="4">
        <f t="shared" si="1"/>
        <v>2800</v>
      </c>
      <c r="M31" s="4">
        <f t="shared" si="2"/>
        <v>2350</v>
      </c>
      <c r="N31" s="4">
        <f t="shared" si="3"/>
        <v>450</v>
      </c>
      <c r="O31" s="5">
        <f t="shared" si="4"/>
        <v>0.160714285714286</v>
      </c>
    </row>
    <row r="32" spans="1:15">
      <c r="A32" s="3">
        <v>46305</v>
      </c>
      <c r="B32" t="s">
        <v>110</v>
      </c>
      <c r="C32" t="s">
        <v>55</v>
      </c>
      <c r="D32" t="s">
        <v>56</v>
      </c>
      <c r="E32" t="s">
        <v>57</v>
      </c>
      <c r="F32" t="s">
        <v>25</v>
      </c>
      <c r="G32">
        <v>3</v>
      </c>
      <c r="H32" s="4">
        <v>850</v>
      </c>
      <c r="I32" s="4">
        <v>650</v>
      </c>
      <c r="J32" s="4">
        <v>100</v>
      </c>
      <c r="K32" s="4">
        <f t="shared" si="0"/>
        <v>2550</v>
      </c>
      <c r="L32" s="4">
        <f t="shared" si="1"/>
        <v>2450</v>
      </c>
      <c r="M32" s="4">
        <f t="shared" si="2"/>
        <v>1950</v>
      </c>
      <c r="N32" s="4">
        <f t="shared" si="3"/>
        <v>500</v>
      </c>
      <c r="O32" s="5">
        <f t="shared" si="4"/>
        <v>0.204081632653061</v>
      </c>
    </row>
    <row r="33" spans="1:15">
      <c r="A33" s="3">
        <v>46306</v>
      </c>
      <c r="B33" t="s">
        <v>111</v>
      </c>
      <c r="C33" t="s">
        <v>59</v>
      </c>
      <c r="D33" t="s">
        <v>60</v>
      </c>
      <c r="E33" t="s">
        <v>57</v>
      </c>
      <c r="F33" t="s">
        <v>29</v>
      </c>
      <c r="G33">
        <v>2</v>
      </c>
      <c r="H33" s="4">
        <v>550</v>
      </c>
      <c r="I33" s="4">
        <v>400</v>
      </c>
      <c r="J33" s="4">
        <v>50</v>
      </c>
      <c r="K33" s="4">
        <f t="shared" si="0"/>
        <v>1100</v>
      </c>
      <c r="L33" s="4">
        <f t="shared" si="1"/>
        <v>1050</v>
      </c>
      <c r="M33" s="4">
        <f t="shared" si="2"/>
        <v>800</v>
      </c>
      <c r="N33" s="4">
        <f t="shared" si="3"/>
        <v>250</v>
      </c>
      <c r="O33" s="5">
        <f t="shared" si="4"/>
        <v>0.238095238095238</v>
      </c>
    </row>
    <row r="34" spans="1:15">
      <c r="A34" s="3">
        <v>46308</v>
      </c>
      <c r="B34" t="s">
        <v>112</v>
      </c>
      <c r="C34" t="s">
        <v>62</v>
      </c>
      <c r="D34" t="s">
        <v>63</v>
      </c>
      <c r="E34" t="s">
        <v>33</v>
      </c>
      <c r="F34" t="s">
        <v>64</v>
      </c>
      <c r="G34">
        <v>1</v>
      </c>
      <c r="H34" s="4">
        <v>2200</v>
      </c>
      <c r="I34" s="4">
        <v>1800</v>
      </c>
      <c r="J34" s="4">
        <v>100</v>
      </c>
      <c r="K34" s="4">
        <f t="shared" si="0"/>
        <v>2200</v>
      </c>
      <c r="L34" s="4">
        <f t="shared" si="1"/>
        <v>2100</v>
      </c>
      <c r="M34" s="4">
        <f t="shared" si="2"/>
        <v>1800</v>
      </c>
      <c r="N34" s="4">
        <f t="shared" si="3"/>
        <v>300</v>
      </c>
      <c r="O34" s="5">
        <f t="shared" si="4"/>
        <v>0.142857142857143</v>
      </c>
    </row>
    <row r="35" spans="1:15">
      <c r="A35" s="3">
        <v>46310</v>
      </c>
      <c r="B35" t="s">
        <v>113</v>
      </c>
      <c r="C35" t="s">
        <v>66</v>
      </c>
      <c r="D35" t="s">
        <v>67</v>
      </c>
      <c r="E35" t="s">
        <v>48</v>
      </c>
      <c r="F35" t="s">
        <v>68</v>
      </c>
      <c r="G35">
        <v>1</v>
      </c>
      <c r="H35" s="4">
        <v>4100</v>
      </c>
      <c r="I35" s="4">
        <v>3400</v>
      </c>
      <c r="J35" s="4">
        <v>300</v>
      </c>
      <c r="K35" s="4">
        <f t="shared" si="0"/>
        <v>4100</v>
      </c>
      <c r="L35" s="4">
        <f t="shared" si="1"/>
        <v>3800</v>
      </c>
      <c r="M35" s="4">
        <f t="shared" si="2"/>
        <v>3400</v>
      </c>
      <c r="N35" s="4">
        <f t="shared" si="3"/>
        <v>400</v>
      </c>
      <c r="O35" s="5">
        <f t="shared" si="4"/>
        <v>0.105263157894737</v>
      </c>
    </row>
    <row r="36" spans="1:15">
      <c r="A36" s="3">
        <v>46312</v>
      </c>
      <c r="B36" t="s">
        <v>114</v>
      </c>
      <c r="C36" t="s">
        <v>70</v>
      </c>
      <c r="D36" t="s">
        <v>71</v>
      </c>
      <c r="E36" t="s">
        <v>24</v>
      </c>
      <c r="F36" t="s">
        <v>25</v>
      </c>
      <c r="G36">
        <v>2</v>
      </c>
      <c r="H36" s="4">
        <v>2300</v>
      </c>
      <c r="I36" s="4">
        <v>1900</v>
      </c>
      <c r="J36" s="4">
        <v>150</v>
      </c>
      <c r="K36" s="4">
        <f t="shared" si="0"/>
        <v>4600</v>
      </c>
      <c r="L36" s="4">
        <f t="shared" si="1"/>
        <v>4450</v>
      </c>
      <c r="M36" s="4">
        <f t="shared" si="2"/>
        <v>3800</v>
      </c>
      <c r="N36" s="4">
        <f t="shared" si="3"/>
        <v>650</v>
      </c>
      <c r="O36" s="5">
        <f t="shared" si="4"/>
        <v>0.146067415730337</v>
      </c>
    </row>
    <row r="37" spans="1:15">
      <c r="A37" s="3">
        <v>46314</v>
      </c>
      <c r="B37" t="s">
        <v>115</v>
      </c>
      <c r="C37" t="s">
        <v>73</v>
      </c>
      <c r="D37" t="s">
        <v>74</v>
      </c>
      <c r="E37" t="s">
        <v>24</v>
      </c>
      <c r="F37" t="s">
        <v>29</v>
      </c>
      <c r="G37">
        <v>2</v>
      </c>
      <c r="H37" s="4">
        <v>2200</v>
      </c>
      <c r="I37" s="4">
        <v>1750</v>
      </c>
      <c r="J37" s="4">
        <v>100</v>
      </c>
      <c r="K37" s="4">
        <f t="shared" si="0"/>
        <v>4400</v>
      </c>
      <c r="L37" s="4">
        <f t="shared" si="1"/>
        <v>4300</v>
      </c>
      <c r="M37" s="4">
        <f t="shared" si="2"/>
        <v>3500</v>
      </c>
      <c r="N37" s="4">
        <f t="shared" si="3"/>
        <v>800</v>
      </c>
      <c r="O37" s="5">
        <f t="shared" si="4"/>
        <v>0.186046511627907</v>
      </c>
    </row>
    <row r="38" spans="1:15">
      <c r="A38" s="3">
        <v>46316</v>
      </c>
      <c r="B38" t="s">
        <v>116</v>
      </c>
      <c r="C38" t="s">
        <v>76</v>
      </c>
      <c r="D38" t="s">
        <v>77</v>
      </c>
      <c r="E38" t="s">
        <v>57</v>
      </c>
      <c r="F38" t="s">
        <v>44</v>
      </c>
      <c r="G38">
        <v>1</v>
      </c>
      <c r="H38" s="4">
        <v>700</v>
      </c>
      <c r="I38" s="4">
        <v>500</v>
      </c>
      <c r="J38" s="4">
        <v>0</v>
      </c>
      <c r="K38" s="4">
        <f t="shared" si="0"/>
        <v>700</v>
      </c>
      <c r="L38" s="4">
        <f t="shared" si="1"/>
        <v>700</v>
      </c>
      <c r="M38" s="4">
        <f t="shared" si="2"/>
        <v>500</v>
      </c>
      <c r="N38" s="4">
        <f t="shared" si="3"/>
        <v>200</v>
      </c>
      <c r="O38" s="5">
        <f t="shared" si="4"/>
        <v>0.285714285714286</v>
      </c>
    </row>
    <row r="39" spans="1:15">
      <c r="A39" s="3">
        <v>46318</v>
      </c>
      <c r="B39" t="s">
        <v>117</v>
      </c>
      <c r="C39" t="s">
        <v>79</v>
      </c>
      <c r="D39" t="s">
        <v>80</v>
      </c>
      <c r="E39" t="s">
        <v>33</v>
      </c>
      <c r="F39" t="s">
        <v>34</v>
      </c>
      <c r="G39">
        <v>1</v>
      </c>
      <c r="H39" s="4">
        <v>4500</v>
      </c>
      <c r="I39" s="4">
        <v>3700</v>
      </c>
      <c r="J39" s="4">
        <v>250</v>
      </c>
      <c r="K39" s="4">
        <f t="shared" si="0"/>
        <v>4500</v>
      </c>
      <c r="L39" s="4">
        <f t="shared" si="1"/>
        <v>4250</v>
      </c>
      <c r="M39" s="4">
        <f t="shared" si="2"/>
        <v>3700</v>
      </c>
      <c r="N39" s="4">
        <f t="shared" si="3"/>
        <v>550</v>
      </c>
      <c r="O39" s="5">
        <f t="shared" si="4"/>
        <v>0.129411764705882</v>
      </c>
    </row>
    <row r="40" spans="1:15">
      <c r="A40" s="3">
        <v>46320</v>
      </c>
      <c r="B40" t="s">
        <v>118</v>
      </c>
      <c r="C40" t="s">
        <v>82</v>
      </c>
      <c r="D40" t="s">
        <v>83</v>
      </c>
      <c r="E40" t="s">
        <v>48</v>
      </c>
      <c r="F40" t="s">
        <v>49</v>
      </c>
      <c r="G40">
        <v>2</v>
      </c>
      <c r="H40" s="4">
        <v>3900</v>
      </c>
      <c r="I40" s="4">
        <v>3200</v>
      </c>
      <c r="J40" s="4">
        <v>300</v>
      </c>
      <c r="K40" s="4">
        <f t="shared" si="0"/>
        <v>7800</v>
      </c>
      <c r="L40" s="4">
        <f t="shared" si="1"/>
        <v>7500</v>
      </c>
      <c r="M40" s="4">
        <f t="shared" si="2"/>
        <v>6400</v>
      </c>
      <c r="N40" s="4">
        <f t="shared" si="3"/>
        <v>1100</v>
      </c>
      <c r="O40" s="5">
        <f t="shared" si="4"/>
        <v>0.146666666666667</v>
      </c>
    </row>
    <row r="41" spans="1:15">
      <c r="A41" s="3">
        <v>46322</v>
      </c>
      <c r="B41" t="s">
        <v>119</v>
      </c>
      <c r="C41" t="s">
        <v>85</v>
      </c>
      <c r="D41" t="s">
        <v>86</v>
      </c>
      <c r="E41" t="s">
        <v>87</v>
      </c>
      <c r="F41" t="s">
        <v>29</v>
      </c>
      <c r="G41">
        <v>1</v>
      </c>
      <c r="H41" s="4">
        <v>2100</v>
      </c>
      <c r="I41" s="4">
        <v>1650</v>
      </c>
      <c r="J41" s="4">
        <v>50</v>
      </c>
      <c r="K41" s="4">
        <f t="shared" si="0"/>
        <v>2100</v>
      </c>
      <c r="L41" s="4">
        <f t="shared" si="1"/>
        <v>2050</v>
      </c>
      <c r="M41" s="4">
        <f t="shared" si="2"/>
        <v>1650</v>
      </c>
      <c r="N41" s="4">
        <f t="shared" si="3"/>
        <v>400</v>
      </c>
      <c r="O41" s="5">
        <f t="shared" si="4"/>
        <v>0.195121951219512</v>
      </c>
    </row>
    <row r="42" spans="1:15">
      <c r="A42" s="3">
        <v>46324</v>
      </c>
      <c r="B42" t="s">
        <v>120</v>
      </c>
      <c r="C42" t="s">
        <v>89</v>
      </c>
      <c r="D42" t="s">
        <v>90</v>
      </c>
      <c r="E42" t="s">
        <v>87</v>
      </c>
      <c r="F42" t="s">
        <v>25</v>
      </c>
      <c r="G42">
        <v>2</v>
      </c>
      <c r="H42" s="4">
        <v>2800</v>
      </c>
      <c r="I42" s="4">
        <v>2250</v>
      </c>
      <c r="J42" s="4">
        <v>200</v>
      </c>
      <c r="K42" s="4">
        <f t="shared" si="0"/>
        <v>5600</v>
      </c>
      <c r="L42" s="4">
        <f t="shared" si="1"/>
        <v>5400</v>
      </c>
      <c r="M42" s="4">
        <f t="shared" si="2"/>
        <v>4500</v>
      </c>
      <c r="N42" s="4">
        <f t="shared" si="3"/>
        <v>900</v>
      </c>
      <c r="O42" s="5">
        <f t="shared" si="4"/>
        <v>0.166666666666667</v>
      </c>
    </row>
    <row r="43" spans="1:15">
      <c r="A43" s="3">
        <v>46326</v>
      </c>
      <c r="B43" t="s">
        <v>121</v>
      </c>
      <c r="C43" t="s">
        <v>92</v>
      </c>
      <c r="D43" t="s">
        <v>93</v>
      </c>
      <c r="E43" t="s">
        <v>24</v>
      </c>
      <c r="F43" t="s">
        <v>94</v>
      </c>
      <c r="G43">
        <v>2</v>
      </c>
      <c r="H43" s="4">
        <v>950</v>
      </c>
      <c r="I43" s="4">
        <v>700</v>
      </c>
      <c r="J43" s="4">
        <v>50</v>
      </c>
      <c r="K43" s="4">
        <f t="shared" si="0"/>
        <v>1900</v>
      </c>
      <c r="L43" s="4">
        <f t="shared" si="1"/>
        <v>1850</v>
      </c>
      <c r="M43" s="4">
        <f t="shared" si="2"/>
        <v>1400</v>
      </c>
      <c r="N43" s="4">
        <f t="shared" si="3"/>
        <v>450</v>
      </c>
      <c r="O43" s="5">
        <f t="shared" si="4"/>
        <v>0.243243243243243</v>
      </c>
    </row>
    <row r="44" spans="1:15">
      <c r="A44" s="3">
        <v>46327</v>
      </c>
      <c r="B44" t="s">
        <v>122</v>
      </c>
      <c r="C44" t="s">
        <v>96</v>
      </c>
      <c r="D44" t="s">
        <v>97</v>
      </c>
      <c r="E44" t="s">
        <v>33</v>
      </c>
      <c r="F44" t="s">
        <v>94</v>
      </c>
      <c r="G44">
        <v>2</v>
      </c>
      <c r="H44" s="4">
        <v>1800</v>
      </c>
      <c r="I44" s="4">
        <v>1450</v>
      </c>
      <c r="J44" s="4">
        <v>100</v>
      </c>
      <c r="K44" s="4">
        <f t="shared" si="0"/>
        <v>3600</v>
      </c>
      <c r="L44" s="4">
        <f t="shared" si="1"/>
        <v>3500</v>
      </c>
      <c r="M44" s="4">
        <f t="shared" si="2"/>
        <v>2900</v>
      </c>
      <c r="N44" s="4">
        <f t="shared" si="3"/>
        <v>600</v>
      </c>
      <c r="O44" s="5">
        <f t="shared" si="4"/>
        <v>0.171428571428571</v>
      </c>
    </row>
    <row r="45" spans="1:15">
      <c r="A45" s="3">
        <v>46328</v>
      </c>
      <c r="B45" t="s">
        <v>123</v>
      </c>
      <c r="C45" t="s">
        <v>99</v>
      </c>
      <c r="D45" t="s">
        <v>100</v>
      </c>
      <c r="E45" t="s">
        <v>57</v>
      </c>
      <c r="F45" t="s">
        <v>101</v>
      </c>
      <c r="G45">
        <v>5</v>
      </c>
      <c r="H45" s="4">
        <v>250</v>
      </c>
      <c r="I45" s="4">
        <v>170</v>
      </c>
      <c r="J45" s="4">
        <v>30</v>
      </c>
      <c r="K45" s="4">
        <f t="shared" si="0"/>
        <v>1250</v>
      </c>
      <c r="L45" s="4">
        <f t="shared" si="1"/>
        <v>1220</v>
      </c>
      <c r="M45" s="4">
        <f t="shared" si="2"/>
        <v>850</v>
      </c>
      <c r="N45" s="4">
        <f t="shared" si="3"/>
        <v>370</v>
      </c>
      <c r="O45" s="5">
        <f t="shared" si="4"/>
        <v>0.30327868852459</v>
      </c>
    </row>
    <row r="46" spans="1:15">
      <c r="A46" s="3">
        <v>46329</v>
      </c>
      <c r="B46" t="s">
        <v>124</v>
      </c>
      <c r="C46" t="s">
        <v>22</v>
      </c>
      <c r="D46" t="s">
        <v>23</v>
      </c>
      <c r="E46" t="s">
        <v>24</v>
      </c>
      <c r="F46" t="s">
        <v>25</v>
      </c>
      <c r="G46">
        <v>3</v>
      </c>
      <c r="H46" s="4">
        <v>2800</v>
      </c>
      <c r="I46" s="4">
        <v>2300</v>
      </c>
      <c r="J46" s="4">
        <v>200</v>
      </c>
      <c r="K46" s="4">
        <f t="shared" si="0"/>
        <v>8400</v>
      </c>
      <c r="L46" s="4">
        <f t="shared" si="1"/>
        <v>8200</v>
      </c>
      <c r="M46" s="4">
        <f t="shared" si="2"/>
        <v>6900</v>
      </c>
      <c r="N46" s="4">
        <f t="shared" si="3"/>
        <v>1300</v>
      </c>
      <c r="O46" s="5">
        <f t="shared" si="4"/>
        <v>0.158536585365854</v>
      </c>
    </row>
    <row r="47" spans="1:15">
      <c r="A47" s="3">
        <v>46330</v>
      </c>
      <c r="B47" t="s">
        <v>125</v>
      </c>
      <c r="C47" t="s">
        <v>27</v>
      </c>
      <c r="D47" t="s">
        <v>28</v>
      </c>
      <c r="E47" t="s">
        <v>24</v>
      </c>
      <c r="F47" t="s">
        <v>29</v>
      </c>
      <c r="G47">
        <v>2</v>
      </c>
      <c r="H47" s="4">
        <v>2500</v>
      </c>
      <c r="I47" s="4">
        <v>2000</v>
      </c>
      <c r="J47" s="4">
        <v>100</v>
      </c>
      <c r="K47" s="4">
        <f t="shared" si="0"/>
        <v>5000</v>
      </c>
      <c r="L47" s="4">
        <f t="shared" si="1"/>
        <v>4900</v>
      </c>
      <c r="M47" s="4">
        <f t="shared" si="2"/>
        <v>4000</v>
      </c>
      <c r="N47" s="4">
        <f t="shared" si="3"/>
        <v>900</v>
      </c>
      <c r="O47" s="5">
        <f t="shared" si="4"/>
        <v>0.183673469387755</v>
      </c>
    </row>
    <row r="48" spans="1:15">
      <c r="A48" s="3">
        <v>46331</v>
      </c>
      <c r="B48" t="s">
        <v>126</v>
      </c>
      <c r="C48" t="s">
        <v>31</v>
      </c>
      <c r="D48" t="s">
        <v>32</v>
      </c>
      <c r="E48" t="s">
        <v>33</v>
      </c>
      <c r="F48" t="s">
        <v>34</v>
      </c>
      <c r="G48">
        <v>1</v>
      </c>
      <c r="H48" s="4">
        <v>3200</v>
      </c>
      <c r="I48" s="4">
        <v>2600</v>
      </c>
      <c r="J48" s="4">
        <v>150</v>
      </c>
      <c r="K48" s="4">
        <f t="shared" si="0"/>
        <v>3200</v>
      </c>
      <c r="L48" s="4">
        <f t="shared" si="1"/>
        <v>3050</v>
      </c>
      <c r="M48" s="4">
        <f t="shared" si="2"/>
        <v>2600</v>
      </c>
      <c r="N48" s="4">
        <f t="shared" si="3"/>
        <v>450</v>
      </c>
      <c r="O48" s="5">
        <f t="shared" si="4"/>
        <v>0.147540983606557</v>
      </c>
    </row>
    <row r="49" spans="1:15">
      <c r="A49" s="3">
        <v>46332</v>
      </c>
      <c r="B49" t="s">
        <v>127</v>
      </c>
      <c r="C49" t="s">
        <v>36</v>
      </c>
      <c r="D49" t="s">
        <v>37</v>
      </c>
      <c r="E49" t="s">
        <v>24</v>
      </c>
      <c r="F49" t="s">
        <v>25</v>
      </c>
      <c r="G49">
        <v>2</v>
      </c>
      <c r="H49" s="4">
        <v>3600</v>
      </c>
      <c r="I49" s="4">
        <v>3000</v>
      </c>
      <c r="J49" s="4">
        <v>200</v>
      </c>
      <c r="K49" s="4">
        <f t="shared" si="0"/>
        <v>7200</v>
      </c>
      <c r="L49" s="4">
        <f t="shared" si="1"/>
        <v>7000</v>
      </c>
      <c r="M49" s="4">
        <f t="shared" si="2"/>
        <v>6000</v>
      </c>
      <c r="N49" s="4">
        <f t="shared" si="3"/>
        <v>1000</v>
      </c>
      <c r="O49" s="5">
        <f t="shared" si="4"/>
        <v>0.142857142857143</v>
      </c>
    </row>
    <row r="50" spans="1:15">
      <c r="A50" s="3">
        <v>46333</v>
      </c>
      <c r="B50" t="s">
        <v>128</v>
      </c>
      <c r="C50" t="s">
        <v>39</v>
      </c>
      <c r="D50" t="s">
        <v>40</v>
      </c>
      <c r="E50" t="s">
        <v>24</v>
      </c>
      <c r="F50" t="s">
        <v>29</v>
      </c>
      <c r="G50">
        <v>4</v>
      </c>
      <c r="H50" s="4">
        <v>1400</v>
      </c>
      <c r="I50" s="4">
        <v>1100</v>
      </c>
      <c r="J50" s="4">
        <v>200</v>
      </c>
      <c r="K50" s="4">
        <f t="shared" si="0"/>
        <v>5600</v>
      </c>
      <c r="L50" s="4">
        <f t="shared" si="1"/>
        <v>5400</v>
      </c>
      <c r="M50" s="4">
        <f t="shared" si="2"/>
        <v>4400</v>
      </c>
      <c r="N50" s="4">
        <f t="shared" si="3"/>
        <v>1000</v>
      </c>
      <c r="O50" s="5">
        <f t="shared" si="4"/>
        <v>0.185185185185185</v>
      </c>
    </row>
    <row r="51" spans="1:15">
      <c r="A51" s="3">
        <v>46334</v>
      </c>
      <c r="B51" t="s">
        <v>129</v>
      </c>
      <c r="C51" t="s">
        <v>42</v>
      </c>
      <c r="D51" t="s">
        <v>43</v>
      </c>
      <c r="E51" t="s">
        <v>33</v>
      </c>
      <c r="F51" t="s">
        <v>44</v>
      </c>
      <c r="G51">
        <v>1</v>
      </c>
      <c r="H51" s="4">
        <v>3500</v>
      </c>
      <c r="I51" s="4">
        <v>2850</v>
      </c>
      <c r="J51" s="4">
        <v>250</v>
      </c>
      <c r="K51" s="4">
        <f t="shared" si="0"/>
        <v>3500</v>
      </c>
      <c r="L51" s="4">
        <f t="shared" si="1"/>
        <v>3250</v>
      </c>
      <c r="M51" s="4">
        <f t="shared" si="2"/>
        <v>2850</v>
      </c>
      <c r="N51" s="4">
        <f t="shared" si="3"/>
        <v>400</v>
      </c>
      <c r="O51" s="5">
        <f t="shared" si="4"/>
        <v>0.123076923076923</v>
      </c>
    </row>
    <row r="52" spans="1:15">
      <c r="A52" s="3">
        <v>46336</v>
      </c>
      <c r="B52" t="s">
        <v>130</v>
      </c>
      <c r="C52" t="s">
        <v>46</v>
      </c>
      <c r="D52" t="s">
        <v>47</v>
      </c>
      <c r="E52" t="s">
        <v>48</v>
      </c>
      <c r="F52" t="s">
        <v>49</v>
      </c>
      <c r="G52">
        <v>1</v>
      </c>
      <c r="H52" s="4">
        <v>3200</v>
      </c>
      <c r="I52" s="4">
        <v>2600</v>
      </c>
      <c r="J52" s="4">
        <v>100</v>
      </c>
      <c r="K52" s="4">
        <f t="shared" si="0"/>
        <v>3200</v>
      </c>
      <c r="L52" s="4">
        <f t="shared" si="1"/>
        <v>3100</v>
      </c>
      <c r="M52" s="4">
        <f t="shared" si="2"/>
        <v>2600</v>
      </c>
      <c r="N52" s="4">
        <f t="shared" si="3"/>
        <v>500</v>
      </c>
      <c r="O52" s="5">
        <f t="shared" si="4"/>
        <v>0.161290322580645</v>
      </c>
    </row>
    <row r="53" spans="1:15">
      <c r="A53" s="3">
        <v>46337</v>
      </c>
      <c r="B53" t="s">
        <v>131</v>
      </c>
      <c r="C53" t="s">
        <v>51</v>
      </c>
      <c r="D53" t="s">
        <v>52</v>
      </c>
      <c r="E53" t="s">
        <v>48</v>
      </c>
      <c r="F53" t="s">
        <v>53</v>
      </c>
      <c r="G53">
        <v>2</v>
      </c>
      <c r="H53" s="4">
        <v>2900</v>
      </c>
      <c r="I53" s="4">
        <v>2350</v>
      </c>
      <c r="J53" s="4">
        <v>200</v>
      </c>
      <c r="K53" s="4">
        <f t="shared" si="0"/>
        <v>5800</v>
      </c>
      <c r="L53" s="4">
        <f t="shared" si="1"/>
        <v>5600</v>
      </c>
      <c r="M53" s="4">
        <f t="shared" si="2"/>
        <v>4700</v>
      </c>
      <c r="N53" s="4">
        <f t="shared" si="3"/>
        <v>900</v>
      </c>
      <c r="O53" s="5">
        <f t="shared" si="4"/>
        <v>0.160714285714286</v>
      </c>
    </row>
    <row r="54" spans="1:15">
      <c r="A54" s="3">
        <v>46338</v>
      </c>
      <c r="B54" t="s">
        <v>132</v>
      </c>
      <c r="C54" t="s">
        <v>55</v>
      </c>
      <c r="D54" t="s">
        <v>56</v>
      </c>
      <c r="E54" t="s">
        <v>57</v>
      </c>
      <c r="F54" t="s">
        <v>25</v>
      </c>
      <c r="G54">
        <v>4</v>
      </c>
      <c r="H54" s="4">
        <v>850</v>
      </c>
      <c r="I54" s="4">
        <v>650</v>
      </c>
      <c r="J54" s="4">
        <v>100</v>
      </c>
      <c r="K54" s="4">
        <f t="shared" si="0"/>
        <v>3400</v>
      </c>
      <c r="L54" s="4">
        <f t="shared" si="1"/>
        <v>3300</v>
      </c>
      <c r="M54" s="4">
        <f t="shared" si="2"/>
        <v>2600</v>
      </c>
      <c r="N54" s="4">
        <f t="shared" si="3"/>
        <v>700</v>
      </c>
      <c r="O54" s="5">
        <f t="shared" si="4"/>
        <v>0.212121212121212</v>
      </c>
    </row>
    <row r="55" spans="1:15">
      <c r="A55" s="3">
        <v>46340</v>
      </c>
      <c r="B55" t="s">
        <v>133</v>
      </c>
      <c r="C55" t="s">
        <v>59</v>
      </c>
      <c r="D55" t="s">
        <v>60</v>
      </c>
      <c r="E55" t="s">
        <v>57</v>
      </c>
      <c r="F55" t="s">
        <v>29</v>
      </c>
      <c r="G55">
        <v>3</v>
      </c>
      <c r="H55" s="4">
        <v>550</v>
      </c>
      <c r="I55" s="4">
        <v>400</v>
      </c>
      <c r="J55" s="4">
        <v>50</v>
      </c>
      <c r="K55" s="4">
        <f t="shared" si="0"/>
        <v>1650</v>
      </c>
      <c r="L55" s="4">
        <f t="shared" si="1"/>
        <v>1600</v>
      </c>
      <c r="M55" s="4">
        <f t="shared" si="2"/>
        <v>1200</v>
      </c>
      <c r="N55" s="4">
        <f t="shared" si="3"/>
        <v>400</v>
      </c>
      <c r="O55" s="5">
        <f t="shared" si="4"/>
        <v>0.25</v>
      </c>
    </row>
    <row r="56" spans="1:15">
      <c r="A56" s="3">
        <v>46342</v>
      </c>
      <c r="B56" t="s">
        <v>134</v>
      </c>
      <c r="C56" t="s">
        <v>62</v>
      </c>
      <c r="D56" t="s">
        <v>63</v>
      </c>
      <c r="E56" t="s">
        <v>33</v>
      </c>
      <c r="F56" t="s">
        <v>64</v>
      </c>
      <c r="G56">
        <v>2</v>
      </c>
      <c r="H56" s="4">
        <v>2200</v>
      </c>
      <c r="I56" s="4">
        <v>1800</v>
      </c>
      <c r="J56" s="4">
        <v>150</v>
      </c>
      <c r="K56" s="4">
        <f t="shared" si="0"/>
        <v>4400</v>
      </c>
      <c r="L56" s="4">
        <f t="shared" si="1"/>
        <v>4250</v>
      </c>
      <c r="M56" s="4">
        <f t="shared" si="2"/>
        <v>3600</v>
      </c>
      <c r="N56" s="4">
        <f t="shared" si="3"/>
        <v>650</v>
      </c>
      <c r="O56" s="5">
        <f t="shared" si="4"/>
        <v>0.152941176470588</v>
      </c>
    </row>
    <row r="57" spans="1:15">
      <c r="A57" s="3">
        <v>46344</v>
      </c>
      <c r="B57" t="s">
        <v>135</v>
      </c>
      <c r="C57" t="s">
        <v>66</v>
      </c>
      <c r="D57" t="s">
        <v>67</v>
      </c>
      <c r="E57" t="s">
        <v>48</v>
      </c>
      <c r="F57" t="s">
        <v>68</v>
      </c>
      <c r="G57">
        <v>1</v>
      </c>
      <c r="H57" s="4">
        <v>4100</v>
      </c>
      <c r="I57" s="4">
        <v>3400</v>
      </c>
      <c r="J57" s="4">
        <v>250</v>
      </c>
      <c r="K57" s="4">
        <f t="shared" si="0"/>
        <v>4100</v>
      </c>
      <c r="L57" s="4">
        <f t="shared" si="1"/>
        <v>3850</v>
      </c>
      <c r="M57" s="4">
        <f t="shared" si="2"/>
        <v>3400</v>
      </c>
      <c r="N57" s="4">
        <f t="shared" si="3"/>
        <v>450</v>
      </c>
      <c r="O57" s="5">
        <f t="shared" si="4"/>
        <v>0.116883116883117</v>
      </c>
    </row>
    <row r="58" spans="1:15">
      <c r="A58" s="3">
        <v>46346</v>
      </c>
      <c r="B58" t="s">
        <v>136</v>
      </c>
      <c r="C58" t="s">
        <v>70</v>
      </c>
      <c r="D58" t="s">
        <v>71</v>
      </c>
      <c r="E58" t="s">
        <v>24</v>
      </c>
      <c r="F58" t="s">
        <v>25</v>
      </c>
      <c r="G58">
        <v>3</v>
      </c>
      <c r="H58" s="4">
        <v>2300</v>
      </c>
      <c r="I58" s="4">
        <v>1900</v>
      </c>
      <c r="J58" s="4">
        <v>150</v>
      </c>
      <c r="K58" s="4">
        <f t="shared" si="0"/>
        <v>6900</v>
      </c>
      <c r="L58" s="4">
        <f t="shared" si="1"/>
        <v>6750</v>
      </c>
      <c r="M58" s="4">
        <f t="shared" si="2"/>
        <v>5700</v>
      </c>
      <c r="N58" s="4">
        <f t="shared" si="3"/>
        <v>1050</v>
      </c>
      <c r="O58" s="5">
        <f t="shared" si="4"/>
        <v>0.155555555555556</v>
      </c>
    </row>
    <row r="59" spans="1:15">
      <c r="A59" s="3">
        <v>46348</v>
      </c>
      <c r="B59" t="s">
        <v>137</v>
      </c>
      <c r="C59" t="s">
        <v>73</v>
      </c>
      <c r="D59" t="s">
        <v>74</v>
      </c>
      <c r="E59" t="s">
        <v>24</v>
      </c>
      <c r="F59" t="s">
        <v>29</v>
      </c>
      <c r="G59">
        <v>2</v>
      </c>
      <c r="H59" s="4">
        <v>2200</v>
      </c>
      <c r="I59" s="4">
        <v>1750</v>
      </c>
      <c r="J59" s="4">
        <v>100</v>
      </c>
      <c r="K59" s="4">
        <f t="shared" si="0"/>
        <v>4400</v>
      </c>
      <c r="L59" s="4">
        <f t="shared" si="1"/>
        <v>4300</v>
      </c>
      <c r="M59" s="4">
        <f t="shared" si="2"/>
        <v>3500</v>
      </c>
      <c r="N59" s="4">
        <f t="shared" si="3"/>
        <v>800</v>
      </c>
      <c r="O59" s="5">
        <f t="shared" si="4"/>
        <v>0.186046511627907</v>
      </c>
    </row>
    <row r="60" spans="1:15">
      <c r="A60" s="3">
        <v>46350</v>
      </c>
      <c r="B60" t="s">
        <v>138</v>
      </c>
      <c r="C60" t="s">
        <v>76</v>
      </c>
      <c r="D60" t="s">
        <v>77</v>
      </c>
      <c r="E60" t="s">
        <v>57</v>
      </c>
      <c r="F60" t="s">
        <v>44</v>
      </c>
      <c r="G60">
        <v>3</v>
      </c>
      <c r="H60" s="4">
        <v>700</v>
      </c>
      <c r="I60" s="4">
        <v>500</v>
      </c>
      <c r="J60" s="4">
        <v>100</v>
      </c>
      <c r="K60" s="4">
        <f t="shared" si="0"/>
        <v>2100</v>
      </c>
      <c r="L60" s="4">
        <f t="shared" si="1"/>
        <v>2000</v>
      </c>
      <c r="M60" s="4">
        <f t="shared" si="2"/>
        <v>1500</v>
      </c>
      <c r="N60" s="4">
        <f t="shared" si="3"/>
        <v>500</v>
      </c>
      <c r="O60" s="5">
        <f t="shared" si="4"/>
        <v>0.25</v>
      </c>
    </row>
    <row r="61" spans="1:15">
      <c r="A61" s="3">
        <v>46352</v>
      </c>
      <c r="B61" t="s">
        <v>139</v>
      </c>
      <c r="C61" t="s">
        <v>79</v>
      </c>
      <c r="D61" t="s">
        <v>80</v>
      </c>
      <c r="E61" t="s">
        <v>33</v>
      </c>
      <c r="F61" t="s">
        <v>34</v>
      </c>
      <c r="G61">
        <v>1</v>
      </c>
      <c r="H61" s="4">
        <v>4500</v>
      </c>
      <c r="I61" s="4">
        <v>3700</v>
      </c>
      <c r="J61" s="4">
        <v>300</v>
      </c>
      <c r="K61" s="4">
        <f t="shared" si="0"/>
        <v>4500</v>
      </c>
      <c r="L61" s="4">
        <f t="shared" si="1"/>
        <v>4200</v>
      </c>
      <c r="M61" s="4">
        <f t="shared" si="2"/>
        <v>3700</v>
      </c>
      <c r="N61" s="4">
        <f t="shared" si="3"/>
        <v>500</v>
      </c>
      <c r="O61" s="5">
        <f t="shared" si="4"/>
        <v>0.119047619047619</v>
      </c>
    </row>
    <row r="62" spans="1:15">
      <c r="A62" s="3">
        <v>46353</v>
      </c>
      <c r="B62" t="s">
        <v>140</v>
      </c>
      <c r="C62" t="s">
        <v>82</v>
      </c>
      <c r="D62" t="s">
        <v>83</v>
      </c>
      <c r="E62" t="s">
        <v>48</v>
      </c>
      <c r="F62" t="s">
        <v>49</v>
      </c>
      <c r="G62">
        <v>2</v>
      </c>
      <c r="H62" s="4">
        <v>3900</v>
      </c>
      <c r="I62" s="4">
        <v>3200</v>
      </c>
      <c r="J62" s="4">
        <v>250</v>
      </c>
      <c r="K62" s="4">
        <f t="shared" si="0"/>
        <v>7800</v>
      </c>
      <c r="L62" s="4">
        <f t="shared" si="1"/>
        <v>7550</v>
      </c>
      <c r="M62" s="4">
        <f t="shared" si="2"/>
        <v>6400</v>
      </c>
      <c r="N62" s="4">
        <f t="shared" si="3"/>
        <v>1150</v>
      </c>
      <c r="O62" s="5">
        <f t="shared" si="4"/>
        <v>0.152317880794702</v>
      </c>
    </row>
    <row r="63" spans="1:15">
      <c r="A63" s="3">
        <v>46354</v>
      </c>
      <c r="B63" t="s">
        <v>141</v>
      </c>
      <c r="C63" t="s">
        <v>85</v>
      </c>
      <c r="D63" t="s">
        <v>86</v>
      </c>
      <c r="E63" t="s">
        <v>87</v>
      </c>
      <c r="F63" t="s">
        <v>29</v>
      </c>
      <c r="G63">
        <v>2</v>
      </c>
      <c r="H63" s="4">
        <v>2100</v>
      </c>
      <c r="I63" s="4">
        <v>1650</v>
      </c>
      <c r="J63" s="4">
        <v>100</v>
      </c>
      <c r="K63" s="4">
        <f t="shared" si="0"/>
        <v>4200</v>
      </c>
      <c r="L63" s="4">
        <f t="shared" si="1"/>
        <v>4100</v>
      </c>
      <c r="M63" s="4">
        <f t="shared" si="2"/>
        <v>3300</v>
      </c>
      <c r="N63" s="4">
        <f t="shared" si="3"/>
        <v>800</v>
      </c>
      <c r="O63" s="5">
        <f t="shared" si="4"/>
        <v>0.195121951219512</v>
      </c>
    </row>
    <row r="64" spans="1:15">
      <c r="A64" s="3">
        <v>46355</v>
      </c>
      <c r="B64" t="s">
        <v>142</v>
      </c>
      <c r="C64" t="s">
        <v>89</v>
      </c>
      <c r="D64" t="s">
        <v>90</v>
      </c>
      <c r="E64" t="s">
        <v>87</v>
      </c>
      <c r="F64" t="s">
        <v>25</v>
      </c>
      <c r="G64">
        <v>1</v>
      </c>
      <c r="H64" s="4">
        <v>2800</v>
      </c>
      <c r="I64" s="4">
        <v>2250</v>
      </c>
      <c r="J64" s="4">
        <v>150</v>
      </c>
      <c r="K64" s="4">
        <f t="shared" si="0"/>
        <v>2800</v>
      </c>
      <c r="L64" s="4">
        <f t="shared" si="1"/>
        <v>2650</v>
      </c>
      <c r="M64" s="4">
        <f t="shared" si="2"/>
        <v>2250</v>
      </c>
      <c r="N64" s="4">
        <f t="shared" si="3"/>
        <v>400</v>
      </c>
      <c r="O64" s="5">
        <f t="shared" si="4"/>
        <v>0.150943396226415</v>
      </c>
    </row>
    <row r="65" spans="1:15">
      <c r="A65" s="3">
        <v>46356</v>
      </c>
      <c r="B65" t="s">
        <v>143</v>
      </c>
      <c r="C65" t="s">
        <v>92</v>
      </c>
      <c r="D65" t="s">
        <v>93</v>
      </c>
      <c r="E65" t="s">
        <v>24</v>
      </c>
      <c r="F65" t="s">
        <v>94</v>
      </c>
      <c r="G65">
        <v>4</v>
      </c>
      <c r="H65" s="4">
        <v>950</v>
      </c>
      <c r="I65" s="4">
        <v>700</v>
      </c>
      <c r="J65" s="4">
        <v>100</v>
      </c>
      <c r="K65" s="4">
        <f t="shared" si="0"/>
        <v>3800</v>
      </c>
      <c r="L65" s="4">
        <f t="shared" si="1"/>
        <v>3700</v>
      </c>
      <c r="M65" s="4">
        <f t="shared" si="2"/>
        <v>2800</v>
      </c>
      <c r="N65" s="4">
        <f t="shared" si="3"/>
        <v>900</v>
      </c>
      <c r="O65" s="5">
        <f t="shared" si="4"/>
        <v>0.243243243243243</v>
      </c>
    </row>
  </sheetData>
  <conditionalFormatting sqref="N2:N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4.4" outlineLevelRow="3" outlineLevelCol="4"/>
  <cols>
    <col min="1" max="5" width="18" customWidth="1"/>
  </cols>
  <sheetData>
    <row r="1" spans="1:5">
      <c r="A1" s="1" t="s">
        <v>144</v>
      </c>
      <c r="B1" s="1" t="s">
        <v>12</v>
      </c>
      <c r="C1" s="1" t="s">
        <v>17</v>
      </c>
      <c r="D1" s="1" t="s">
        <v>19</v>
      </c>
      <c r="E1" s="1" t="s">
        <v>4</v>
      </c>
    </row>
    <row r="2" spans="1:5">
      <c r="A2" t="s">
        <v>145</v>
      </c>
      <c r="B2">
        <f>SUMIFS('Sales Data'!G:G,'Sales Data'!A:A,"&gt;="&amp;DATEVALUE("01/09/2026"),'Sales Data'!A:A,"&lt;="&amp;DATEVALUE("30/09/2026"))</f>
        <v>37</v>
      </c>
      <c r="C2">
        <f>SUMIFS('Sales Data'!L:L,'Sales Data'!A:A,"&gt;="&amp;DATEVALUE("01/09/2026"),'Sales Data'!A:A,"&lt;="&amp;DATEVALUE("30/09/2026"))</f>
        <v>68130</v>
      </c>
      <c r="D2">
        <f>SUMIFS('Sales Data'!N:N,'Sales Data'!A:A,"&gt;="&amp;DATEVALUE("01/09/2026"),'Sales Data'!A:A,"&lt;="&amp;DATEVALUE("30/09/2026"))</f>
        <v>11550</v>
      </c>
      <c r="E2">
        <f>COUNTIFS('Sales Data'!A:A,"&gt;="&amp;DATEVALUE("01/09/2026"),'Sales Data'!A:A,"&lt;="&amp;DATEVALUE("30/09/2026"))</f>
        <v>22</v>
      </c>
    </row>
    <row r="3" spans="1:5">
      <c r="A3" t="s">
        <v>146</v>
      </c>
      <c r="B3">
        <f>SUMIFS('Sales Data'!G:G,'Sales Data'!A:A,"&gt;="&amp;DATEVALUE("01/10/2026"),'Sales Data'!A:A,"&lt;="&amp;DATEVALUE("31/10/2026"))</f>
        <v>32</v>
      </c>
      <c r="C3">
        <f>SUMIFS('Sales Data'!L:L,'Sales Data'!A:A,"&gt;="&amp;DATEVALUE("01/10/2026"),'Sales Data'!A:A,"&lt;="&amp;DATEVALUE("31/10/2026"))</f>
        <v>72250</v>
      </c>
      <c r="D3">
        <f>SUMIFS('Sales Data'!N:N,'Sales Data'!A:A,"&gt;="&amp;DATEVALUE("01/10/2026"),'Sales Data'!A:A,"&lt;="&amp;DATEVALUE("31/10/2026"))</f>
        <v>11750</v>
      </c>
      <c r="E3">
        <f>COUNTIFS('Sales Data'!A:A,"&gt;="&amp;DATEVALUE("01/10/2026"),'Sales Data'!A:A,"&lt;="&amp;DATEVALUE("31/10/2026"))</f>
        <v>20</v>
      </c>
    </row>
    <row r="4" spans="1:5">
      <c r="A4" t="s">
        <v>147</v>
      </c>
      <c r="B4">
        <f>SUMIFS('Sales Data'!G:G,'Sales Data'!A:A,"&gt;="&amp;DATEVALUE("01/11/2026"),'Sales Data'!A:A,"&lt;="&amp;DATEVALUE("30/11/2026"))</f>
        <v>51</v>
      </c>
      <c r="C4">
        <f>SUMIFS('Sales Data'!L:L,'Sales Data'!A:A,"&gt;="&amp;DATEVALUE("01/11/2026"),'Sales Data'!A:A,"&lt;="&amp;DATEVALUE("30/11/2026"))</f>
        <v>93470</v>
      </c>
      <c r="D4">
        <f>SUMIFS('Sales Data'!N:N,'Sales Data'!A:A,"&gt;="&amp;DATEVALUE("01/11/2026"),'Sales Data'!A:A,"&lt;="&amp;DATEVALUE("30/11/2026"))</f>
        <v>15720</v>
      </c>
      <c r="E4">
        <f>COUNTIFS('Sales Data'!A:A,"&gt;="&amp;DATEVALUE("01/11/2026"),'Sales Data'!A:A,"&lt;="&amp;DATEVALUE("30/11/2026"))</f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4.4" outlineLevelRow="5" outlineLevelCol="3"/>
  <cols>
    <col min="1" max="4" width="18" customWidth="1"/>
  </cols>
  <sheetData>
    <row r="1" spans="1:4">
      <c r="A1" s="1" t="s">
        <v>10</v>
      </c>
      <c r="B1" s="1" t="s">
        <v>12</v>
      </c>
      <c r="C1" s="1" t="s">
        <v>17</v>
      </c>
      <c r="D1" s="1" t="s">
        <v>19</v>
      </c>
    </row>
    <row r="2" spans="1:4">
      <c r="A2" t="s">
        <v>24</v>
      </c>
      <c r="B2">
        <f>SUMIF('Sales Data'!E:E,A2,'Sales Data'!G:G)</f>
        <v>45</v>
      </c>
      <c r="C2">
        <f>SUMIF('Sales Data'!E:E,A2,'Sales Data'!L:L)</f>
        <v>89750</v>
      </c>
      <c r="D2">
        <f>SUMIF('Sales Data'!E:E,A2,'Sales Data'!N:N)</f>
        <v>15700</v>
      </c>
    </row>
    <row r="3" spans="1:4">
      <c r="A3" t="s">
        <v>33</v>
      </c>
      <c r="B3">
        <f>SUMIF('Sales Data'!E:E,A3,'Sales Data'!G:G)</f>
        <v>17</v>
      </c>
      <c r="C3">
        <f>SUMIF('Sales Data'!E:E,A3,'Sales Data'!L:L)</f>
        <v>48500</v>
      </c>
      <c r="D3">
        <f>SUMIF('Sales Data'!E:E,A3,'Sales Data'!N:N)</f>
        <v>6900</v>
      </c>
    </row>
    <row r="4" spans="1:4">
      <c r="A4" t="s">
        <v>48</v>
      </c>
      <c r="B4">
        <f>SUMIF('Sales Data'!E:E,A4,'Sales Data'!G:G)</f>
        <v>17</v>
      </c>
      <c r="C4">
        <f>SUMIF('Sales Data'!E:E,A4,'Sales Data'!L:L)</f>
        <v>56650</v>
      </c>
      <c r="D4">
        <f>SUMIF('Sales Data'!E:E,A4,'Sales Data'!N:N)</f>
        <v>8300</v>
      </c>
    </row>
    <row r="5" spans="1:4">
      <c r="A5" t="s">
        <v>57</v>
      </c>
      <c r="B5">
        <f>SUMIF('Sales Data'!E:E,A5,'Sales Data'!G:G)</f>
        <v>32</v>
      </c>
      <c r="C5">
        <f>SUMIF('Sales Data'!E:E,A5,'Sales Data'!L:L)</f>
        <v>17950</v>
      </c>
      <c r="D5">
        <f>SUMIF('Sales Data'!E:E,A5,'Sales Data'!N:N)</f>
        <v>4370</v>
      </c>
    </row>
    <row r="6" spans="1:4">
      <c r="A6" t="s">
        <v>87</v>
      </c>
      <c r="B6">
        <f>SUMIF('Sales Data'!E:E,A6,'Sales Data'!G:G)</f>
        <v>9</v>
      </c>
      <c r="C6">
        <f>SUMIF('Sales Data'!E:E,A6,'Sales Data'!L:L)</f>
        <v>21000</v>
      </c>
      <c r="D6">
        <f>SUMIF('Sales Data'!E:E,A6,'Sales Data'!N:N)</f>
        <v>3750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Sales Data</vt:lpstr>
      <vt:lpstr>Monthly Summary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</cp:lastModifiedBy>
  <dcterms:created xsi:type="dcterms:W3CDTF">2026-10-05T19:56:00Z</dcterms:created>
  <dcterms:modified xsi:type="dcterms:W3CDTF">2026-10-05T20:04:17Z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FE683F8A0C0644C78595DFB0E2CAA4BB_12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